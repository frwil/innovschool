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ulletin" sheetId="1" r:id="rId4"/>
    <sheet name="Stats" sheetId="2" state="hidden" r:id="rId5"/>
    <sheet name="Analysis" sheetId="3" r:id="rId6"/>
  </sheets>
  <definedNames>
    <definedName name="cote_total_1">'Bulletin'!$G$197</definedName>
    <definedName name="cote_total_2">'Bulletin'!$H$197</definedName>
    <definedName name="cote_total_3">'Bulletin'!$I$197</definedName>
    <definedName name="moy_total_1">'Bulletin'!$G194</definedName>
    <definedName name="moy_total_2">'Bulletin'!$H194</definedName>
    <definedName name="moy_total_3">'Bulletin'!$I194</definedName>
    <definedName name="_xlnm.Print_Area" localSheetId="0">'Bulletin'!$A$1:$R$215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<sst xmlns="http://schemas.openxmlformats.org/spreadsheetml/2006/main" uniqueCount="119">
  <si>
    <t>IPD
BIYEMASSI LYCEE
694638049
fohom.william.francis@emailboxy.cm</t>
  </si>
  <si>
    <t>BULLETIN DE NOTES</t>
  </si>
  <si>
    <t>PREMIER TRIMESTRE - Année scolaire : 2024/2025</t>
  </si>
  <si>
    <t>Nom et Prénom</t>
  </si>
  <si>
    <t>NOAH DAVIS</t>
  </si>
  <si>
    <t>Matricule</t>
  </si>
  <si>
    <t>IPD6789</t>
  </si>
  <si>
    <t>Date de naissance</t>
  </si>
  <si>
    <t>05/11/2011</t>
  </si>
  <si>
    <t>à</t>
  </si>
  <si>
    <t>Redoublant</t>
  </si>
  <si>
    <t>Sexe</t>
  </si>
  <si>
    <t>Féminin</t>
  </si>
  <si>
    <t>Parent</t>
  </si>
  <si>
    <t>Classe</t>
  </si>
  <si>
    <t>CM2</t>
  </si>
  <si>
    <t>Contact</t>
  </si>
  <si>
    <t>Matières/Compétences</t>
  </si>
  <si>
    <t>Modules/Unités d'apprentissage</t>
  </si>
  <si>
    <t>UA1</t>
  </si>
  <si>
    <t>UA2</t>
  </si>
  <si>
    <t>SEQ3</t>
  </si>
  <si>
    <t>NOTE</t>
  </si>
  <si>
    <t>COTE</t>
  </si>
  <si>
    <t>Français</t>
  </si>
  <si>
    <t>Standard/Ecrit: 20 pts</t>
  </si>
  <si>
    <t>Oral: 20 pts</t>
  </si>
  <si>
    <t>Pratique: 20 pts</t>
  </si>
  <si>
    <t>Savoir-Etre: 20 pts</t>
  </si>
  <si>
    <t>Total</t>
  </si>
  <si>
    <t>A</t>
  </si>
  <si>
    <t>A+</t>
  </si>
  <si>
    <t>Histoire</t>
  </si>
  <si>
    <t>Géographie</t>
  </si>
  <si>
    <t>ECA</t>
  </si>
  <si>
    <t>Anglais</t>
  </si>
  <si>
    <t>COMMUNIQUER EN FRANCAIS ET ANGLAIS ET PRATIQUER AU MOINS UNE LANGUE NATIONALE</t>
  </si>
  <si>
    <t>Éducation Civique</t>
  </si>
  <si>
    <t>Arts Plastiques</t>
  </si>
  <si>
    <t>Musique</t>
  </si>
  <si>
    <t>Sport</t>
  </si>
  <si>
    <t>Mathématiques</t>
  </si>
  <si>
    <t>UTILISER LES NOTIONS DE BASE EN MATHEMATIQUES, SCIENCES ET TECHNOLOGIES</t>
  </si>
  <si>
    <t>Sciences</t>
  </si>
  <si>
    <t>FOHOM WILLIAM FRANCIS</t>
  </si>
  <si>
    <t>Par</t>
  </si>
  <si>
    <t>23/05/2025 18:41:27</t>
  </si>
  <si>
    <t xml:space="preserve">Edité le </t>
  </si>
  <si>
    <t>1- 
2-
3-</t>
  </si>
  <si>
    <t>DIRECTEUR</t>
  </si>
  <si>
    <t>PARENT</t>
  </si>
  <si>
    <t>ENSEIGNANTS</t>
  </si>
  <si>
    <t>OBSERVATIONS ET SIGNATURE</t>
  </si>
  <si>
    <t>DECISION DU CONSEIL DE CLASSE</t>
  </si>
  <si>
    <t>1e</t>
  </si>
  <si>
    <t>e</t>
  </si>
  <si>
    <t>RANG</t>
  </si>
  <si>
    <t>MOYENNE</t>
  </si>
  <si>
    <t>1154/1600</t>
  </si>
  <si>
    <t>593/800</t>
  </si>
  <si>
    <t>561/800</t>
  </si>
  <si>
    <t>TOTAL</t>
  </si>
  <si>
    <t>TRIMESTRE1</t>
  </si>
  <si>
    <t>PERIODE</t>
  </si>
  <si>
    <t>0-10</t>
  </si>
  <si>
    <t>NON ACQUIS</t>
  </si>
  <si>
    <t>NA</t>
  </si>
  <si>
    <t>LEGENDE</t>
  </si>
  <si>
    <t>RECAPITULATIF</t>
  </si>
  <si>
    <t>APPRECIATION (AP)</t>
  </si>
  <si>
    <t>Id_evaluation</t>
  </si>
  <si>
    <t>Student</t>
  </si>
  <si>
    <t>class_module_id</t>
  </si>
  <si>
    <t>Module_id</t>
  </si>
  <si>
    <t>Module_name</t>
  </si>
  <si>
    <t>class_module_period</t>
  </si>
  <si>
    <t>class_module_classe</t>
  </si>
  <si>
    <t>class_module_school</t>
  </si>
  <si>
    <t>module_notation</t>
  </si>
  <si>
    <t>evaluation_note</t>
  </si>
  <si>
    <t>evaluation_time_id</t>
  </si>
  <si>
    <t>evaluation_time_name</t>
  </si>
  <si>
    <t>Student_id</t>
  </si>
  <si>
    <t>Student_class_id</t>
  </si>
  <si>
    <t>Student_class_name</t>
  </si>
  <si>
    <t>Student_class_period_id</t>
  </si>
  <si>
    <t>Student_class_period_name</t>
  </si>
  <si>
    <t>Student_registration_number</t>
  </si>
  <si>
    <t>Francis William</t>
  </si>
  <si>
    <t>Standard/Ecrit</t>
  </si>
  <si>
    <t>2024/2025</t>
  </si>
  <si>
    <t>IPD</t>
  </si>
  <si>
    <t>Mois 1</t>
  </si>
  <si>
    <t>IPD00004</t>
  </si>
  <si>
    <t>Oral</t>
  </si>
  <si>
    <t>Pratique</t>
  </si>
  <si>
    <t>Savoir-Etre</t>
  </si>
  <si>
    <t>John Doe</t>
  </si>
  <si>
    <t>IPD1234</t>
  </si>
  <si>
    <t>Alex Brown</t>
  </si>
  <si>
    <t>IPD9012</t>
  </si>
  <si>
    <t>Emma Jones</t>
  </si>
  <si>
    <t>IPD3456</t>
  </si>
  <si>
    <t>Liam Wilson</t>
  </si>
  <si>
    <t>IPD7890</t>
  </si>
  <si>
    <t>Sophia Martin</t>
  </si>
  <si>
    <t>IPD2345</t>
  </si>
  <si>
    <t>Noah Davis</t>
  </si>
  <si>
    <t>Mia Moore</t>
  </si>
  <si>
    <t>IPD8901</t>
  </si>
  <si>
    <t>Lucas Taylor</t>
  </si>
  <si>
    <t>IPD4567</t>
  </si>
  <si>
    <t>Ava Anderson</t>
  </si>
  <si>
    <t>IPD1243</t>
  </si>
  <si>
    <t>Ava Anderson 2</t>
  </si>
  <si>
    <t>IPD1244</t>
  </si>
  <si>
    <t>Mois 2</t>
  </si>
  <si>
    <t>Première séquence</t>
  </si>
  <si>
    <t>Deuxieme séquence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</si>
</sst>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15"/>
  <sheetViews>
    <sheetView tabSelected="1" workbookViewId="0" zoomScale="85" zoomScaleSheetLayoutView="85" view="pageBreakPreview" showGridLines="false" showRowColHeaders="1" topLeftCell="A191">
      <selection activeCell="A62" sqref="A62:E72"/>
    </sheetView>
  </sheetViews>
  <sheetFormatPr defaultRowHeight="14.4" defaultColWidth="9.109375" outlineLevelRow="0" outlineLevelCol="0"/>
  <cols>
    <col min="1" max="1" width="3.44140625" customWidth="true" style="0"/>
    <col min="2" max="2" width="12" customWidth="true" style="0"/>
    <col min="3" max="3" width="4.6640625" customWidth="true" style="0"/>
    <col min="4" max="4" width="2.5546875" customWidth="true" style="0"/>
    <col min="5" max="5" width="2.5546875" customWidth="true" style="0"/>
    <col min="6" max="6" width="18" customWidth="true" style="0"/>
    <col min="7" max="7" width="7.44140625" customWidth="true" style="0"/>
    <col min="8" max="8" width="8.33203125" customWidth="true" style="0"/>
    <col min="9" max="9" width="9.21875" customWidth="true" style="0"/>
    <col min="10" max="10" width="11.33203125" customWidth="true" style="0"/>
    <col min="11" max="11" width="1" customWidth="true" style="0"/>
    <col min="12" max="12" width="10.33203125" customWidth="true" style="0"/>
    <col min="13" max="13" width="7.77734375" customWidth="true" style="0"/>
    <col min="14" max="14" width="1" customWidth="true" style="0"/>
    <col min="15" max="15" width="5.6640625" customWidth="true" style="0"/>
    <col min="16" max="16" width="5.44140625" customWidth="true" style="0"/>
    <col min="17" max="17" width="5.6640625" hidden="true" customWidth="true" style="0"/>
  </cols>
  <sheetData>
    <row r="1" spans="1:17">
      <c r="A1" t="s">
        <v>0</v>
      </c>
      <c r="J1" t="s">
        <v>0</v>
      </c>
    </row>
    <row r="2" spans="1:17">
      <c r="A2" t="s">
        <v>1</v>
      </c>
    </row>
    <row r="3" spans="1:17">
      <c r="A3" t="s">
        <v>2</v>
      </c>
    </row>
    <row r="4" spans="1:17">
      <c r="A4" t="s">
        <v>3</v>
      </c>
      <c r="C4" t="s">
        <v>4</v>
      </c>
      <c r="L4" t="s">
        <v>5</v>
      </c>
      <c r="M4" t="s">
        <v>6</v>
      </c>
    </row>
    <row r="5" spans="1:17">
      <c r="A5" t="s">
        <v>7</v>
      </c>
      <c r="C5" t="s">
        <v>8</v>
      </c>
      <c r="E5" t="s">
        <v>9</v>
      </c>
      <c r="L5" t="s">
        <v>10</v>
      </c>
    </row>
    <row r="6" spans="1:17">
      <c r="A6" t="s">
        <v>11</v>
      </c>
      <c r="C6" t="s">
        <v>12</v>
      </c>
      <c r="L6" t="s">
        <v>13</v>
      </c>
    </row>
    <row r="7" spans="1:17">
      <c r="A7" t="s">
        <v>14</v>
      </c>
      <c r="C7" t="s">
        <v>15</v>
      </c>
      <c r="L7" t="s">
        <v>16</v>
      </c>
    </row>
    <row r="9" spans="1:17">
      <c r="F9" t="s">
        <v>17</v>
      </c>
      <c r="I9" t="s">
        <v>18</v>
      </c>
      <c r="L9" t="s">
        <v>19</v>
      </c>
      <c r="O9" t="s">
        <v>20</v>
      </c>
      <c r="Q9" t="s">
        <v>21</v>
      </c>
    </row>
    <row r="10" spans="1:17">
      <c r="L10" t="s">
        <v>22</v>
      </c>
      <c r="M10" t="s">
        <v>23</v>
      </c>
      <c r="O10" t="s">
        <v>22</v>
      </c>
      <c r="P10" t="s">
        <v>23</v>
      </c>
      <c r="Q10" t="s">
        <v>22</v>
      </c>
    </row>
    <row r="11" spans="1:17">
      <c r="A11" s="1"/>
      <c r="B11" s="4"/>
      <c r="C11" s="4"/>
      <c r="D11" s="4"/>
      <c r="E11" s="6"/>
      <c r="F11" t="s">
        <v>24</v>
      </c>
      <c r="I11" t="s">
        <v>25</v>
      </c>
      <c r="K11">
        <v>20</v>
      </c>
      <c r="L11">
        <v>17.0</v>
      </c>
      <c r="N11">
        <v>20</v>
      </c>
      <c r="O11">
        <v>19.0</v>
      </c>
      <c r="Q11">
        <v>0</v>
      </c>
    </row>
    <row r="12" spans="1:17">
      <c r="A12" s="2"/>
      <c r="E12" s="7"/>
      <c r="I12" t="s">
        <v>26</v>
      </c>
      <c r="K12">
        <v>20</v>
      </c>
      <c r="L12">
        <v>14.0</v>
      </c>
      <c r="N12">
        <v>20</v>
      </c>
      <c r="O12">
        <v>20.0</v>
      </c>
      <c r="Q12">
        <v>0</v>
      </c>
    </row>
    <row r="13" spans="1:17">
      <c r="A13" s="2"/>
      <c r="E13" s="7"/>
      <c r="I13" t="s">
        <v>27</v>
      </c>
      <c r="K13">
        <v>20</v>
      </c>
      <c r="L13">
        <v>16.0</v>
      </c>
      <c r="N13">
        <v>20</v>
      </c>
      <c r="O13">
        <v>18.0</v>
      </c>
      <c r="Q13">
        <v>0</v>
      </c>
    </row>
    <row r="14" spans="1:17">
      <c r="A14" s="2"/>
      <c r="E14" s="7"/>
      <c r="I14" t="s">
        <v>28</v>
      </c>
      <c r="K14">
        <v>20</v>
      </c>
      <c r="L14">
        <v>12.0</v>
      </c>
      <c r="N14">
        <v>20</v>
      </c>
      <c r="O14">
        <v>16.0</v>
      </c>
      <c r="Q14">
        <v>0</v>
      </c>
    </row>
    <row r="15" spans="1:17">
      <c r="A15" s="2"/>
      <c r="E15" s="7"/>
      <c r="F15" t="s">
        <v>29</v>
      </c>
      <c r="K15">
        <v>80</v>
      </c>
      <c r="L15">
        <v>59.0</v>
      </c>
      <c r="M15" t="s">
        <v>30</v>
      </c>
      <c r="N15">
        <v>80</v>
      </c>
      <c r="O15">
        <v>73.0</v>
      </c>
      <c r="P15" t="s">
        <v>31</v>
      </c>
      <c r="Q15" t="str">
        <f>SUM(Q11:Q14)</f>
      </c>
    </row>
    <row r="16" spans="1:17">
      <c r="A16" s="2"/>
      <c r="E16" s="7"/>
      <c r="F16" t="s">
        <v>23</v>
      </c>
      <c r="L16" t="s">
        <v>30</v>
      </c>
    </row>
    <row r="17" spans="1:17">
      <c r="A17" s="2"/>
      <c r="E17" s="7"/>
      <c r="F17" t="s">
        <v>32</v>
      </c>
      <c r="I17" t="s">
        <v>25</v>
      </c>
      <c r="K17">
        <v>20</v>
      </c>
      <c r="L17">
        <v>14.0</v>
      </c>
      <c r="N17">
        <v>20</v>
      </c>
      <c r="O17">
        <v>8.0</v>
      </c>
      <c r="Q17">
        <v>0</v>
      </c>
    </row>
    <row r="18" spans="1:17">
      <c r="A18" s="2"/>
      <c r="E18" s="7"/>
      <c r="I18" t="s">
        <v>26</v>
      </c>
      <c r="K18">
        <v>20</v>
      </c>
      <c r="L18">
        <v>12.0</v>
      </c>
      <c r="N18">
        <v>20</v>
      </c>
      <c r="O18">
        <v>16.0</v>
      </c>
      <c r="Q18">
        <v>0</v>
      </c>
    </row>
    <row r="19" spans="1:17">
      <c r="A19" s="2"/>
      <c r="E19" s="7"/>
      <c r="I19" t="s">
        <v>27</v>
      </c>
      <c r="K19">
        <v>20</v>
      </c>
      <c r="L19">
        <v>20.0</v>
      </c>
      <c r="N19">
        <v>20</v>
      </c>
      <c r="O19">
        <v>17.0</v>
      </c>
      <c r="Q19">
        <v>0</v>
      </c>
    </row>
    <row r="20" spans="1:17">
      <c r="A20" s="2"/>
      <c r="E20" s="7"/>
      <c r="I20" t="s">
        <v>28</v>
      </c>
      <c r="K20">
        <v>20</v>
      </c>
      <c r="L20">
        <v>13.0</v>
      </c>
      <c r="N20">
        <v>20</v>
      </c>
      <c r="O20">
        <v>17.0</v>
      </c>
      <c r="Q20">
        <v>0</v>
      </c>
    </row>
    <row r="21" spans="1:17">
      <c r="A21" s="2"/>
      <c r="E21" s="7"/>
      <c r="F21" t="s">
        <v>29</v>
      </c>
      <c r="K21">
        <v>80</v>
      </c>
      <c r="L21">
        <v>59.0</v>
      </c>
      <c r="M21" t="s">
        <v>30</v>
      </c>
      <c r="N21">
        <v>80</v>
      </c>
      <c r="O21">
        <v>58.0</v>
      </c>
      <c r="P21" t="s">
        <v>30</v>
      </c>
      <c r="Q21" t="str">
        <f>SUM(Q17:Q20)</f>
      </c>
    </row>
    <row r="22" spans="1:17">
      <c r="A22" s="2"/>
      <c r="E22" s="7"/>
      <c r="F22" t="s">
        <v>23</v>
      </c>
      <c r="L22" t="s">
        <v>30</v>
      </c>
    </row>
    <row r="23" spans="1:17">
      <c r="A23" s="2"/>
      <c r="E23" s="7"/>
      <c r="F23" t="s">
        <v>33</v>
      </c>
      <c r="I23" t="s">
        <v>25</v>
      </c>
      <c r="K23">
        <v>20</v>
      </c>
      <c r="L23">
        <v>13.0</v>
      </c>
      <c r="N23">
        <v>20</v>
      </c>
      <c r="O23">
        <v>13.0</v>
      </c>
      <c r="Q23">
        <v>0</v>
      </c>
    </row>
    <row r="24" spans="1:17">
      <c r="A24" s="2"/>
      <c r="E24" s="7"/>
      <c r="I24" t="s">
        <v>26</v>
      </c>
      <c r="K24">
        <v>20</v>
      </c>
      <c r="L24">
        <v>10.0</v>
      </c>
      <c r="N24">
        <v>20</v>
      </c>
      <c r="O24">
        <v>13.0</v>
      </c>
      <c r="Q24">
        <v>0</v>
      </c>
    </row>
    <row r="25" spans="1:17">
      <c r="A25" s="2"/>
      <c r="E25" s="7"/>
      <c r="I25" t="s">
        <v>27</v>
      </c>
      <c r="K25">
        <v>20</v>
      </c>
      <c r="L25">
        <v>19.0</v>
      </c>
      <c r="N25">
        <v>20</v>
      </c>
      <c r="O25">
        <v>13.0</v>
      </c>
      <c r="Q25">
        <v>0</v>
      </c>
    </row>
    <row r="26" spans="1:17">
      <c r="A26" s="2"/>
      <c r="E26" s="7"/>
      <c r="I26" t="s">
        <v>28</v>
      </c>
      <c r="K26">
        <v>20</v>
      </c>
      <c r="L26">
        <v>19.0</v>
      </c>
      <c r="N26">
        <v>20</v>
      </c>
      <c r="O26">
        <v>16.0</v>
      </c>
      <c r="Q26">
        <v>0</v>
      </c>
    </row>
    <row r="27" spans="1:17">
      <c r="A27" s="2"/>
      <c r="E27" s="7"/>
      <c r="F27" t="s">
        <v>29</v>
      </c>
      <c r="K27">
        <v>80</v>
      </c>
      <c r="L27">
        <v>61.0</v>
      </c>
      <c r="M27" t="s">
        <v>30</v>
      </c>
      <c r="N27">
        <v>80</v>
      </c>
      <c r="O27">
        <v>55.0</v>
      </c>
      <c r="P27" t="s">
        <v>34</v>
      </c>
      <c r="Q27" t="str">
        <f>SUM(Q23:Q26)</f>
      </c>
    </row>
    <row r="28" spans="1:17">
      <c r="A28" s="2"/>
      <c r="E28" s="7"/>
      <c r="F28" t="s">
        <v>23</v>
      </c>
      <c r="L28" t="s">
        <v>30</v>
      </c>
    </row>
    <row r="29" spans="1:17">
      <c r="A29" s="2"/>
      <c r="E29" s="7"/>
      <c r="F29" t="s">
        <v>35</v>
      </c>
      <c r="I29" t="s">
        <v>27</v>
      </c>
      <c r="K29">
        <v>20</v>
      </c>
      <c r="L29">
        <v>14.0</v>
      </c>
      <c r="N29">
        <v>20</v>
      </c>
      <c r="O29">
        <v>13.0</v>
      </c>
      <c r="Q29">
        <v>0</v>
      </c>
    </row>
    <row r="30" spans="1:17">
      <c r="A30" s="2"/>
      <c r="E30" s="7"/>
      <c r="I30" t="s">
        <v>26</v>
      </c>
      <c r="K30">
        <v>20</v>
      </c>
      <c r="L30">
        <v>12.0</v>
      </c>
      <c r="N30">
        <v>20</v>
      </c>
      <c r="O30">
        <v>19.0</v>
      </c>
      <c r="Q30">
        <v>0</v>
      </c>
    </row>
    <row r="31" spans="1:17">
      <c r="A31" s="2"/>
      <c r="E31" s="7"/>
      <c r="I31" t="s">
        <v>25</v>
      </c>
      <c r="K31">
        <v>20</v>
      </c>
      <c r="L31">
        <v>11.0</v>
      </c>
      <c r="N31">
        <v>20</v>
      </c>
      <c r="O31">
        <v>10.0</v>
      </c>
      <c r="Q31">
        <v>0</v>
      </c>
    </row>
    <row r="32" spans="1:17">
      <c r="A32" s="2"/>
      <c r="E32" s="7"/>
      <c r="I32" t="s">
        <v>28</v>
      </c>
      <c r="K32">
        <v>20</v>
      </c>
      <c r="L32">
        <v>8.0</v>
      </c>
      <c r="N32">
        <v>20</v>
      </c>
      <c r="O32">
        <v>12.0</v>
      </c>
      <c r="Q32">
        <v>0</v>
      </c>
    </row>
    <row r="33" spans="1:17">
      <c r="A33" s="2"/>
      <c r="E33" s="7"/>
      <c r="F33" t="s">
        <v>29</v>
      </c>
      <c r="K33">
        <v>80</v>
      </c>
      <c r="L33">
        <v>45.0</v>
      </c>
      <c r="M33" t="s">
        <v>34</v>
      </c>
      <c r="N33">
        <v>80</v>
      </c>
      <c r="O33">
        <v>54.0</v>
      </c>
      <c r="P33" t="s">
        <v>34</v>
      </c>
      <c r="Q33" t="str">
        <f>SUM(Q29:Q32)</f>
      </c>
    </row>
    <row r="34" spans="1:17">
      <c r="A34" s="2"/>
      <c r="E34" s="7"/>
      <c r="F34" t="s">
        <v>23</v>
      </c>
      <c r="L34" t="s">
        <v>34</v>
      </c>
    </row>
    <row r="35" spans="1:17">
      <c r="A35" s="2" t="s">
        <v>36</v>
      </c>
      <c r="E35" s="7"/>
      <c r="F35" t="s">
        <v>37</v>
      </c>
      <c r="I35" t="s">
        <v>27</v>
      </c>
      <c r="K35">
        <v>20</v>
      </c>
      <c r="L35">
        <v>17.0</v>
      </c>
      <c r="N35">
        <v>20</v>
      </c>
      <c r="O35">
        <v>10.0</v>
      </c>
      <c r="Q35">
        <v>0</v>
      </c>
    </row>
    <row r="36" spans="1:17">
      <c r="A36" s="2"/>
      <c r="E36" s="7"/>
      <c r="I36" t="s">
        <v>26</v>
      </c>
      <c r="K36">
        <v>20</v>
      </c>
      <c r="L36">
        <v>10.0</v>
      </c>
      <c r="N36">
        <v>20</v>
      </c>
      <c r="O36">
        <v>19.0</v>
      </c>
      <c r="Q36">
        <v>0</v>
      </c>
    </row>
    <row r="37" spans="1:17">
      <c r="A37" s="2"/>
      <c r="E37" s="7"/>
      <c r="I37" t="s">
        <v>25</v>
      </c>
      <c r="K37">
        <v>20</v>
      </c>
      <c r="L37">
        <v>11.0</v>
      </c>
      <c r="N37">
        <v>20</v>
      </c>
      <c r="O37">
        <v>11.0</v>
      </c>
      <c r="Q37">
        <v>0</v>
      </c>
    </row>
    <row r="38" spans="1:17">
      <c r="A38" s="2"/>
      <c r="E38" s="7"/>
      <c r="I38" t="s">
        <v>28</v>
      </c>
      <c r="K38">
        <v>20</v>
      </c>
      <c r="L38">
        <v>14.0</v>
      </c>
      <c r="N38">
        <v>20</v>
      </c>
      <c r="O38">
        <v>20.0</v>
      </c>
      <c r="Q38">
        <v>0</v>
      </c>
    </row>
    <row r="39" spans="1:17">
      <c r="A39" s="2"/>
      <c r="E39" s="7"/>
      <c r="F39" t="s">
        <v>29</v>
      </c>
      <c r="K39">
        <v>80</v>
      </c>
      <c r="L39">
        <v>52.0</v>
      </c>
      <c r="M39" t="s">
        <v>34</v>
      </c>
      <c r="N39">
        <v>80</v>
      </c>
      <c r="O39">
        <v>60.0</v>
      </c>
      <c r="P39" t="s">
        <v>30</v>
      </c>
      <c r="Q39" t="str">
        <f>SUM(Q35:Q38)</f>
      </c>
    </row>
    <row r="40" spans="1:17">
      <c r="A40" s="2"/>
      <c r="E40" s="7"/>
      <c r="F40" t="s">
        <v>23</v>
      </c>
      <c r="L40" t="s">
        <v>34</v>
      </c>
    </row>
    <row r="41" spans="1:17">
      <c r="A41" s="2"/>
      <c r="E41" s="7"/>
      <c r="F41" t="s">
        <v>38</v>
      </c>
      <c r="I41" t="s">
        <v>27</v>
      </c>
      <c r="K41">
        <v>20</v>
      </c>
      <c r="L41">
        <v>9.0</v>
      </c>
      <c r="N41">
        <v>20</v>
      </c>
      <c r="O41">
        <v>15.0</v>
      </c>
      <c r="Q41">
        <v>0</v>
      </c>
    </row>
    <row r="42" spans="1:17">
      <c r="A42" s="2"/>
      <c r="E42" s="7"/>
      <c r="I42" t="s">
        <v>26</v>
      </c>
      <c r="K42">
        <v>20</v>
      </c>
      <c r="L42">
        <v>16.0</v>
      </c>
      <c r="N42">
        <v>20</v>
      </c>
      <c r="O42">
        <v>12.0</v>
      </c>
      <c r="Q42">
        <v>0</v>
      </c>
    </row>
    <row r="43" spans="1:17">
      <c r="A43" s="2"/>
      <c r="E43" s="7"/>
      <c r="I43" t="s">
        <v>25</v>
      </c>
      <c r="K43">
        <v>20</v>
      </c>
      <c r="L43">
        <v>17.0</v>
      </c>
      <c r="N43">
        <v>20</v>
      </c>
      <c r="O43">
        <v>10.0</v>
      </c>
      <c r="Q43">
        <v>0</v>
      </c>
    </row>
    <row r="44" spans="1:17">
      <c r="A44" s="2"/>
      <c r="E44" s="7"/>
      <c r="I44" t="s">
        <v>28</v>
      </c>
      <c r="K44">
        <v>20</v>
      </c>
      <c r="L44">
        <v>11.0</v>
      </c>
      <c r="N44">
        <v>20</v>
      </c>
      <c r="O44">
        <v>17.0</v>
      </c>
      <c r="Q44">
        <v>0</v>
      </c>
    </row>
    <row r="45" spans="1:17">
      <c r="A45" s="2"/>
      <c r="E45" s="7"/>
      <c r="F45" t="s">
        <v>29</v>
      </c>
      <c r="K45">
        <v>80</v>
      </c>
      <c r="L45">
        <v>53.0</v>
      </c>
      <c r="M45" t="s">
        <v>34</v>
      </c>
      <c r="N45">
        <v>80</v>
      </c>
      <c r="O45">
        <v>54.0</v>
      </c>
      <c r="P45" t="s">
        <v>34</v>
      </c>
      <c r="Q45" t="str">
        <f>SUM(Q41:Q44)</f>
      </c>
    </row>
    <row r="46" spans="1:17">
      <c r="A46" s="2"/>
      <c r="E46" s="7"/>
      <c r="F46" t="s">
        <v>23</v>
      </c>
      <c r="L46" t="s">
        <v>34</v>
      </c>
    </row>
    <row r="47" spans="1:17">
      <c r="A47" s="2"/>
      <c r="E47" s="7"/>
      <c r="F47" t="s">
        <v>39</v>
      </c>
      <c r="I47" t="s">
        <v>27</v>
      </c>
      <c r="K47">
        <v>20</v>
      </c>
      <c r="L47">
        <v>10.0</v>
      </c>
      <c r="N47">
        <v>20</v>
      </c>
      <c r="O47">
        <v>13.0</v>
      </c>
      <c r="Q47">
        <v>0</v>
      </c>
    </row>
    <row r="48" spans="1:17">
      <c r="A48" s="2"/>
      <c r="E48" s="7"/>
      <c r="I48" t="s">
        <v>26</v>
      </c>
      <c r="K48">
        <v>20</v>
      </c>
      <c r="L48">
        <v>14.0</v>
      </c>
      <c r="N48">
        <v>20</v>
      </c>
      <c r="O48">
        <v>16.0</v>
      </c>
      <c r="Q48">
        <v>0</v>
      </c>
    </row>
    <row r="49" spans="1:17">
      <c r="A49" s="2"/>
      <c r="E49" s="7"/>
      <c r="I49" t="s">
        <v>25</v>
      </c>
      <c r="K49">
        <v>20</v>
      </c>
      <c r="L49">
        <v>13.0</v>
      </c>
      <c r="N49">
        <v>20</v>
      </c>
      <c r="O49">
        <v>17.0</v>
      </c>
      <c r="Q49">
        <v>0</v>
      </c>
    </row>
    <row r="50" spans="1:17">
      <c r="A50" s="2"/>
      <c r="E50" s="7"/>
      <c r="I50" t="s">
        <v>28</v>
      </c>
      <c r="K50">
        <v>20</v>
      </c>
      <c r="L50">
        <v>19.0</v>
      </c>
      <c r="N50">
        <v>20</v>
      </c>
      <c r="O50">
        <v>16.0</v>
      </c>
      <c r="Q50">
        <v>0</v>
      </c>
    </row>
    <row r="51" spans="1:17">
      <c r="A51" s="2"/>
      <c r="E51" s="7"/>
      <c r="F51" t="s">
        <v>29</v>
      </c>
      <c r="K51">
        <v>80</v>
      </c>
      <c r="L51">
        <v>56.0</v>
      </c>
      <c r="M51" t="s">
        <v>34</v>
      </c>
      <c r="N51">
        <v>80</v>
      </c>
      <c r="O51">
        <v>62.0</v>
      </c>
      <c r="P51" t="s">
        <v>30</v>
      </c>
      <c r="Q51" t="str">
        <f>SUM(Q47:Q50)</f>
      </c>
    </row>
    <row r="52" spans="1:17">
      <c r="A52" s="2"/>
      <c r="E52" s="7"/>
      <c r="F52" t="s">
        <v>23</v>
      </c>
      <c r="L52" t="s">
        <v>30</v>
      </c>
    </row>
    <row r="53" spans="1:17">
      <c r="A53" s="2"/>
      <c r="E53" s="7"/>
      <c r="F53" t="s">
        <v>40</v>
      </c>
      <c r="I53" t="s">
        <v>27</v>
      </c>
      <c r="K53">
        <v>20</v>
      </c>
      <c r="L53">
        <v>17.0</v>
      </c>
      <c r="N53">
        <v>20</v>
      </c>
      <c r="O53">
        <v>13.0</v>
      </c>
      <c r="Q53">
        <v>0</v>
      </c>
    </row>
    <row r="54" spans="1:17">
      <c r="A54" s="2"/>
      <c r="E54" s="7"/>
      <c r="I54" t="s">
        <v>25</v>
      </c>
      <c r="K54">
        <v>20</v>
      </c>
      <c r="L54">
        <v>9.0</v>
      </c>
      <c r="N54">
        <v>20</v>
      </c>
      <c r="O54">
        <v>18.0</v>
      </c>
      <c r="Q54">
        <v>0</v>
      </c>
    </row>
    <row r="55" spans="1:17">
      <c r="A55" s="2"/>
      <c r="E55" s="7"/>
      <c r="I55" t="s">
        <v>26</v>
      </c>
      <c r="K55">
        <v>20</v>
      </c>
      <c r="L55">
        <v>16.0</v>
      </c>
      <c r="N55">
        <v>20</v>
      </c>
      <c r="O55">
        <v>20.0</v>
      </c>
      <c r="Q55">
        <v>0</v>
      </c>
    </row>
    <row r="56" spans="1:17">
      <c r="A56" s="2"/>
      <c r="E56" s="7"/>
      <c r="I56" t="s">
        <v>28</v>
      </c>
      <c r="K56">
        <v>20</v>
      </c>
      <c r="L56">
        <v>17.0</v>
      </c>
      <c r="N56">
        <v>20</v>
      </c>
      <c r="O56">
        <v>11.0</v>
      </c>
      <c r="Q56">
        <v>0</v>
      </c>
    </row>
    <row r="57" spans="1:17">
      <c r="A57" s="3"/>
      <c r="B57" s="5"/>
      <c r="C57" s="5"/>
      <c r="D57" s="5"/>
      <c r="E57" s="8"/>
      <c r="F57" t="s">
        <v>29</v>
      </c>
      <c r="K57">
        <v>80</v>
      </c>
      <c r="L57">
        <v>59.0</v>
      </c>
      <c r="M57" t="s">
        <v>30</v>
      </c>
      <c r="N57">
        <v>80</v>
      </c>
      <c r="O57">
        <v>62.0</v>
      </c>
      <c r="P57" t="s">
        <v>30</v>
      </c>
      <c r="Q57" t="str">
        <f>SUM(Q53:Q56)</f>
      </c>
    </row>
    <row r="58" spans="1:17">
      <c r="F58" t="s">
        <v>23</v>
      </c>
      <c r="L58" t="s">
        <v>30</v>
      </c>
    </row>
    <row r="61" spans="1:17">
      <c r="I61" t="s">
        <v>18</v>
      </c>
      <c r="L61" t="s">
        <v>19</v>
      </c>
      <c r="O61" t="s">
        <v>20</v>
      </c>
    </row>
    <row r="62" spans="1:17">
      <c r="A62" s="1"/>
      <c r="B62" s="4"/>
      <c r="C62" s="4"/>
      <c r="D62" s="4"/>
      <c r="E62" s="6"/>
      <c r="F62" t="s">
        <v>41</v>
      </c>
      <c r="I62" t="s">
        <v>25</v>
      </c>
      <c r="K62">
        <v>20</v>
      </c>
      <c r="L62">
        <v>19.0</v>
      </c>
      <c r="N62">
        <v>20</v>
      </c>
      <c r="O62">
        <v>15.0</v>
      </c>
      <c r="Q62">
        <v>0</v>
      </c>
    </row>
    <row r="63" spans="1:17">
      <c r="A63" s="2"/>
      <c r="E63" s="7"/>
      <c r="I63" t="s">
        <v>26</v>
      </c>
      <c r="K63">
        <v>20</v>
      </c>
      <c r="L63">
        <v>9.0</v>
      </c>
      <c r="N63">
        <v>20</v>
      </c>
      <c r="O63">
        <v>10.0</v>
      </c>
      <c r="Q63">
        <v>0</v>
      </c>
    </row>
    <row r="64" spans="1:17">
      <c r="A64" s="2"/>
      <c r="E64" s="7"/>
      <c r="I64" t="s">
        <v>27</v>
      </c>
      <c r="K64">
        <v>20</v>
      </c>
      <c r="L64">
        <v>13.0</v>
      </c>
      <c r="N64">
        <v>20</v>
      </c>
      <c r="O64">
        <v>13.0</v>
      </c>
      <c r="Q64">
        <v>0</v>
      </c>
    </row>
    <row r="65" spans="1:17">
      <c r="A65" s="2"/>
      <c r="E65" s="7"/>
      <c r="I65" t="s">
        <v>28</v>
      </c>
      <c r="K65">
        <v>20</v>
      </c>
      <c r="L65">
        <v>9.0</v>
      </c>
      <c r="N65">
        <v>20</v>
      </c>
      <c r="O65">
        <v>14.0</v>
      </c>
      <c r="Q65">
        <v>0</v>
      </c>
    </row>
    <row r="66" spans="1:17">
      <c r="A66" s="2"/>
      <c r="E66" s="7"/>
      <c r="F66" t="s">
        <v>29</v>
      </c>
      <c r="K66">
        <v>80</v>
      </c>
      <c r="L66">
        <v>50.0</v>
      </c>
      <c r="M66" t="s">
        <v>34</v>
      </c>
      <c r="N66">
        <v>80</v>
      </c>
      <c r="O66">
        <v>52.0</v>
      </c>
      <c r="P66" t="s">
        <v>34</v>
      </c>
      <c r="Q66" t="str">
        <f>SUM(Q62:Q65)</f>
      </c>
    </row>
    <row r="67" spans="1:17">
      <c r="A67" s="2"/>
      <c r="E67" s="7"/>
      <c r="F67" t="s">
        <v>23</v>
      </c>
      <c r="L67" t="s">
        <v>34</v>
      </c>
    </row>
    <row r="68" spans="1:17">
      <c r="A68" s="2" t="s">
        <v>42</v>
      </c>
      <c r="E68" s="7"/>
      <c r="F68" t="s">
        <v>43</v>
      </c>
      <c r="I68" t="s">
        <v>26</v>
      </c>
      <c r="K68">
        <v>20</v>
      </c>
      <c r="L68">
        <v>18.0</v>
      </c>
      <c r="N68">
        <v>20</v>
      </c>
      <c r="O68">
        <v>19.0</v>
      </c>
      <c r="Q68">
        <v>0</v>
      </c>
    </row>
    <row r="69" spans="1:17">
      <c r="A69" s="2"/>
      <c r="E69" s="7"/>
      <c r="I69" t="s">
        <v>25</v>
      </c>
      <c r="K69">
        <v>20</v>
      </c>
      <c r="L69">
        <v>18.0</v>
      </c>
      <c r="N69">
        <v>20</v>
      </c>
      <c r="O69">
        <v>13.0</v>
      </c>
      <c r="Q69">
        <v>0</v>
      </c>
    </row>
    <row r="70" spans="1:17">
      <c r="A70" s="2"/>
      <c r="E70" s="7"/>
      <c r="I70" t="s">
        <v>27</v>
      </c>
      <c r="K70">
        <v>20</v>
      </c>
      <c r="L70">
        <v>16.0</v>
      </c>
      <c r="N70">
        <v>20</v>
      </c>
      <c r="O70">
        <v>19.0</v>
      </c>
      <c r="Q70">
        <v>0</v>
      </c>
    </row>
    <row r="71" spans="1:17">
      <c r="A71" s="2"/>
      <c r="E71" s="7"/>
      <c r="I71" t="s">
        <v>28</v>
      </c>
      <c r="K71">
        <v>20</v>
      </c>
      <c r="L71">
        <v>15.0</v>
      </c>
      <c r="N71">
        <v>20</v>
      </c>
      <c r="O71">
        <v>12.0</v>
      </c>
      <c r="Q71">
        <v>0</v>
      </c>
    </row>
    <row r="72" spans="1:17">
      <c r="A72" s="3"/>
      <c r="B72" s="5"/>
      <c r="C72" s="5"/>
      <c r="D72" s="5"/>
      <c r="E72" s="8"/>
      <c r="F72" t="s">
        <v>29</v>
      </c>
      <c r="K72">
        <v>80</v>
      </c>
      <c r="L72">
        <v>67.0</v>
      </c>
      <c r="M72" t="s">
        <v>30</v>
      </c>
      <c r="N72">
        <v>80</v>
      </c>
      <c r="O72">
        <v>63.0</v>
      </c>
      <c r="P72" t="s">
        <v>30</v>
      </c>
      <c r="Q72" t="str">
        <f>SUM(Q68:Q71)</f>
      </c>
    </row>
    <row r="73" spans="1:17">
      <c r="F73" t="s">
        <v>23</v>
      </c>
      <c r="L73" t="s">
        <v>30</v>
      </c>
    </row>
    <row r="77" spans="1:17" hidden="true">
      <c r="L77">
        <v>0</v>
      </c>
      <c r="O77">
        <v>0</v>
      </c>
      <c r="Q77">
        <v>0</v>
      </c>
    </row>
    <row r="78" spans="1:17" hidden="true">
      <c r="L78">
        <v>0</v>
      </c>
      <c r="O78">
        <v>0</v>
      </c>
      <c r="Q78">
        <v>0</v>
      </c>
    </row>
    <row r="79" spans="1:17" hidden="true">
      <c r="L79">
        <v>0</v>
      </c>
      <c r="O79">
        <v>0</v>
      </c>
      <c r="Q79">
        <v>0</v>
      </c>
    </row>
    <row r="80" spans="1:17" hidden="true">
      <c r="L80">
        <v>0</v>
      </c>
      <c r="O80">
        <v>0</v>
      </c>
      <c r="Q80">
        <v>0</v>
      </c>
    </row>
    <row r="81" spans="1:17" hidden="true">
      <c r="K81" t="str">
        <f>SUM(K77:K80)</f>
      </c>
      <c r="L81" t="str">
        <f>SUM(L77:L80)</f>
      </c>
      <c r="M81" t="str">
        <f>IFERROR(L81/K81*20,0)</f>
      </c>
      <c r="N81" t="str">
        <f>SUM(N77:N80)</f>
      </c>
      <c r="O81" t="str">
        <f>SUM(O77:O80)</f>
      </c>
      <c r="P81" t="str">
        <f>IFERROR(O81/N81*20,0)</f>
      </c>
      <c r="Q81" t="str">
        <f>SUM(Q77:Q80)</f>
      </c>
    </row>
    <row r="82" spans="1:17" hidden="true">
      <c r="L82" t="str">
        <f>IFERROR(SUM(L81,O81,Q81)*20/SUM(K81,N81,Q81),0)</f>
      </c>
    </row>
    <row r="83" spans="1:17" hidden="true">
      <c r="L83">
        <v>0</v>
      </c>
      <c r="O83">
        <v>0</v>
      </c>
      <c r="Q83">
        <v>0</v>
      </c>
    </row>
    <row r="84" spans="1:17" hidden="true">
      <c r="L84">
        <v>0</v>
      </c>
      <c r="O84">
        <v>0</v>
      </c>
      <c r="Q84">
        <v>0</v>
      </c>
    </row>
    <row r="85" spans="1:17" hidden="true">
      <c r="L85">
        <v>0</v>
      </c>
      <c r="O85">
        <v>0</v>
      </c>
      <c r="Q85">
        <v>0</v>
      </c>
    </row>
    <row r="86" spans="1:17" hidden="true">
      <c r="L86">
        <v>0</v>
      </c>
      <c r="O86">
        <v>0</v>
      </c>
      <c r="Q86">
        <v>0</v>
      </c>
    </row>
    <row r="87" spans="1:17" hidden="true">
      <c r="K87" t="str">
        <f>SUM(K83:K86)</f>
      </c>
      <c r="L87" t="str">
        <f>SUM(L83:L86)</f>
      </c>
      <c r="M87" t="str">
        <f>IFERROR(L87/K87*20,0)</f>
      </c>
      <c r="N87" t="str">
        <f>SUM(N83:N86)</f>
      </c>
      <c r="O87" t="str">
        <f>SUM(O83:O86)</f>
      </c>
      <c r="P87" t="str">
        <f>IFERROR(O87/N87*20,0)</f>
      </c>
      <c r="Q87" t="str">
        <f>SUM(Q83:Q86)</f>
      </c>
    </row>
    <row r="88" spans="1:17" hidden="true">
      <c r="L88" t="str">
        <f>IFERROR(SUM(L87,O87,Q87)*20/SUM(K87,N87,Q87),0)</f>
      </c>
    </row>
    <row r="89" spans="1:17" hidden="true">
      <c r="L89">
        <v>0</v>
      </c>
      <c r="O89">
        <v>0</v>
      </c>
      <c r="Q89">
        <v>0</v>
      </c>
    </row>
    <row r="90" spans="1:17" hidden="true">
      <c r="L90">
        <v>0</v>
      </c>
      <c r="O90">
        <v>0</v>
      </c>
      <c r="Q90">
        <v>0</v>
      </c>
    </row>
    <row r="91" spans="1:17" hidden="true">
      <c r="L91">
        <v>0</v>
      </c>
      <c r="O91">
        <v>0</v>
      </c>
      <c r="Q91">
        <v>0</v>
      </c>
    </row>
    <row r="92" spans="1:17" hidden="true">
      <c r="L92">
        <v>0</v>
      </c>
      <c r="O92">
        <v>0</v>
      </c>
      <c r="Q92">
        <v>0</v>
      </c>
    </row>
    <row r="93" spans="1:17" hidden="true">
      <c r="K93" t="str">
        <f>SUM(K89:K92)</f>
      </c>
      <c r="L93" t="str">
        <f>SUM(L89:L92)</f>
      </c>
      <c r="M93" t="str">
        <f>IFERROR(L93/K93*20,0)</f>
      </c>
      <c r="N93" t="str">
        <f>SUM(N89:N92)</f>
      </c>
      <c r="O93" t="str">
        <f>SUM(O89:O92)</f>
      </c>
      <c r="P93" t="str">
        <f>IFERROR(O93/N93*20,0)</f>
      </c>
      <c r="Q93" t="str">
        <f>SUM(Q89:Q92)</f>
      </c>
    </row>
    <row r="94" spans="1:17" hidden="true">
      <c r="L94" t="str">
        <f>IFERROR(SUM(L93,O93,Q93)*20/SUM(K93,N93,Q93),0)</f>
      </c>
    </row>
    <row r="95" spans="1:17" hidden="true">
      <c r="L95">
        <v>0</v>
      </c>
      <c r="O95">
        <v>0</v>
      </c>
      <c r="Q95">
        <v>0</v>
      </c>
    </row>
    <row r="96" spans="1:17" hidden="true">
      <c r="L96">
        <v>0</v>
      </c>
      <c r="O96">
        <v>0</v>
      </c>
      <c r="Q96">
        <v>0</v>
      </c>
    </row>
    <row r="97" spans="1:17" hidden="true">
      <c r="L97">
        <v>0</v>
      </c>
      <c r="O97">
        <v>0</v>
      </c>
      <c r="Q97">
        <v>0</v>
      </c>
    </row>
    <row r="98" spans="1:17" hidden="true">
      <c r="L98">
        <v>0</v>
      </c>
      <c r="O98">
        <v>0</v>
      </c>
      <c r="Q98">
        <v>0</v>
      </c>
    </row>
    <row r="99" spans="1:17" hidden="true">
      <c r="K99" t="str">
        <f>SUM(K95:K98)</f>
      </c>
      <c r="L99" t="str">
        <f>SUM(L95:L98)</f>
      </c>
      <c r="M99" t="str">
        <f>IFERROR(L99/K99*20,0)</f>
      </c>
      <c r="N99" t="str">
        <f>SUM(N95:N98)</f>
      </c>
      <c r="O99" t="str">
        <f>SUM(O95:O98)</f>
      </c>
      <c r="P99" t="str">
        <f>IFERROR(O99/N99*20,0)</f>
      </c>
      <c r="Q99" t="str">
        <f>SUM(Q95:Q98)</f>
      </c>
    </row>
    <row r="100" spans="1:17" hidden="true">
      <c r="L100" t="str">
        <f>IFERROR(SUM(L99,O99,Q99)*20/SUM(K99,N99,Q99),0)</f>
      </c>
    </row>
    <row r="101" spans="1:17" hidden="true">
      <c r="L101">
        <v>0</v>
      </c>
      <c r="O101">
        <v>0</v>
      </c>
      <c r="Q101">
        <v>0</v>
      </c>
    </row>
    <row r="102" spans="1:17" hidden="true">
      <c r="L102">
        <v>0</v>
      </c>
      <c r="O102">
        <v>0</v>
      </c>
      <c r="Q102">
        <v>0</v>
      </c>
    </row>
    <row r="103" spans="1:17" hidden="true">
      <c r="L103">
        <v>0</v>
      </c>
      <c r="O103">
        <v>0</v>
      </c>
      <c r="Q103">
        <v>0</v>
      </c>
    </row>
    <row r="104" spans="1:17" hidden="true">
      <c r="L104">
        <v>0</v>
      </c>
      <c r="O104">
        <v>0</v>
      </c>
      <c r="Q104">
        <v>0</v>
      </c>
    </row>
    <row r="105" spans="1:17" hidden="true">
      <c r="K105" t="str">
        <f>SUM(K101:K104)</f>
      </c>
      <c r="L105" t="str">
        <f>SUM(L101:L104)</f>
      </c>
      <c r="M105" t="str">
        <f>IFERROR(L105/K105*20,0)</f>
      </c>
      <c r="N105" t="str">
        <f>SUM(N101:N104)</f>
      </c>
      <c r="O105" t="str">
        <f>SUM(O101:O104)</f>
      </c>
      <c r="P105" t="str">
        <f>IFERROR(O105/N105*20,0)</f>
      </c>
      <c r="Q105" t="str">
        <f>SUM(Q101:Q104)</f>
      </c>
    </row>
    <row r="106" spans="1:17" hidden="true">
      <c r="L106" t="str">
        <f>IFERROR(SUM(L105,O105,Q105)*20/SUM(K105,N105,Q105),0)</f>
      </c>
    </row>
    <row r="107" spans="1:17" hidden="true">
      <c r="L107">
        <v>0</v>
      </c>
      <c r="O107">
        <v>0</v>
      </c>
      <c r="Q107">
        <v>0</v>
      </c>
    </row>
    <row r="108" spans="1:17" hidden="true">
      <c r="L108">
        <v>0</v>
      </c>
      <c r="O108">
        <v>0</v>
      </c>
      <c r="Q108">
        <v>0</v>
      </c>
    </row>
    <row r="109" spans="1:17" hidden="true">
      <c r="L109">
        <v>0</v>
      </c>
      <c r="O109">
        <v>0</v>
      </c>
      <c r="Q109">
        <v>0</v>
      </c>
    </row>
    <row r="110" spans="1:17" hidden="true">
      <c r="L110">
        <v>0</v>
      </c>
      <c r="O110">
        <v>0</v>
      </c>
      <c r="Q110">
        <v>0</v>
      </c>
    </row>
    <row r="111" spans="1:17" hidden="true">
      <c r="K111" t="str">
        <f>SUM(K107:K110)</f>
      </c>
      <c r="L111" t="str">
        <f>SUM(L107:L110)</f>
      </c>
      <c r="M111" t="str">
        <f>IFERROR(L111/K111*20,0)</f>
      </c>
      <c r="N111" t="str">
        <f>SUM(N107:N110)</f>
      </c>
      <c r="O111" t="str">
        <f>SUM(O107:O110)</f>
      </c>
      <c r="P111" t="str">
        <f>IFERROR(O111/N111*20,0)</f>
      </c>
      <c r="Q111" t="str">
        <f>SUM(Q107:Q110)</f>
      </c>
    </row>
    <row r="112" spans="1:17" hidden="true">
      <c r="L112" t="str">
        <f>IFERROR(SUM(L111,O111,Q111)*20/SUM(K111,N111,Q111),0)</f>
      </c>
    </row>
    <row r="113" spans="1:17" hidden="true">
      <c r="L113">
        <v>0</v>
      </c>
      <c r="O113">
        <v>0</v>
      </c>
      <c r="Q113">
        <v>0</v>
      </c>
    </row>
    <row r="114" spans="1:17" hidden="true">
      <c r="L114">
        <v>0</v>
      </c>
      <c r="O114">
        <v>0</v>
      </c>
      <c r="Q114">
        <v>0</v>
      </c>
    </row>
    <row r="115" spans="1:17" hidden="true">
      <c r="L115">
        <v>0</v>
      </c>
      <c r="O115">
        <v>0</v>
      </c>
      <c r="Q115">
        <v>0</v>
      </c>
    </row>
    <row r="116" spans="1:17" hidden="true">
      <c r="L116">
        <v>0</v>
      </c>
      <c r="O116">
        <v>0</v>
      </c>
      <c r="Q116">
        <v>0</v>
      </c>
    </row>
    <row r="117" spans="1:17" hidden="true">
      <c r="K117" t="str">
        <f>SUM(K113:K116)</f>
      </c>
      <c r="L117" t="str">
        <f>SUM(L113:L116)</f>
      </c>
      <c r="M117" t="str">
        <f>IFERROR(L117/K117*20,0)</f>
      </c>
      <c r="N117" t="str">
        <f>SUM(N113:N116)</f>
      </c>
      <c r="O117" t="str">
        <f>SUM(O113:O116)</f>
      </c>
      <c r="P117" t="str">
        <f>IFERROR(O117/N117*20,0)</f>
      </c>
      <c r="Q117" t="str">
        <f>SUM(Q113:Q116)</f>
      </c>
    </row>
    <row r="118" spans="1:17" hidden="true">
      <c r="L118" t="str">
        <f>IFERROR(SUM(L117,O117,Q117)*20/SUM(K117,N117,Q117),0)</f>
      </c>
    </row>
    <row r="119" spans="1:17" hidden="true">
      <c r="L119">
        <v>0</v>
      </c>
      <c r="O119">
        <v>0</v>
      </c>
      <c r="Q119">
        <v>0</v>
      </c>
    </row>
    <row r="120" spans="1:17" hidden="true">
      <c r="L120">
        <v>0</v>
      </c>
      <c r="O120">
        <v>0</v>
      </c>
      <c r="Q120">
        <v>0</v>
      </c>
    </row>
    <row r="121" spans="1:17" hidden="true">
      <c r="L121">
        <v>0</v>
      </c>
      <c r="O121">
        <v>0</v>
      </c>
      <c r="Q121">
        <v>0</v>
      </c>
    </row>
    <row r="122" spans="1:17" hidden="true">
      <c r="L122">
        <v>0</v>
      </c>
      <c r="O122">
        <v>0</v>
      </c>
      <c r="Q122">
        <v>0</v>
      </c>
    </row>
    <row r="123" spans="1:17" hidden="true">
      <c r="K123" t="str">
        <f>SUM(K119:K122)</f>
      </c>
      <c r="L123" t="str">
        <f>SUM(L119:L122)</f>
      </c>
      <c r="M123" t="str">
        <f>IFERROR(L123/K123*20,0)</f>
      </c>
      <c r="N123" t="str">
        <f>SUM(N119:N122)</f>
      </c>
      <c r="O123" t="str">
        <f>SUM(O119:O122)</f>
      </c>
      <c r="P123" t="str">
        <f>IFERROR(O123/N123*20,0)</f>
      </c>
      <c r="Q123" t="str">
        <f>SUM(Q119:Q122)</f>
      </c>
    </row>
    <row r="124" spans="1:17" hidden="true">
      <c r="L124" t="str">
        <f>IFERROR(SUM(L123,O123,Q123)*20/SUM(K123,N123,Q123),0)</f>
      </c>
    </row>
    <row r="125" spans="1:17" hidden="true">
      <c r="L125">
        <v>0</v>
      </c>
      <c r="O125">
        <v>0</v>
      </c>
      <c r="Q125">
        <v>0</v>
      </c>
    </row>
    <row r="126" spans="1:17" hidden="true">
      <c r="L126">
        <v>0</v>
      </c>
      <c r="O126">
        <v>0</v>
      </c>
      <c r="Q126">
        <v>0</v>
      </c>
    </row>
    <row r="127" spans="1:17" hidden="true">
      <c r="L127">
        <v>0</v>
      </c>
      <c r="O127">
        <v>0</v>
      </c>
      <c r="Q127">
        <v>0</v>
      </c>
    </row>
    <row r="128" spans="1:17" hidden="true">
      <c r="L128">
        <v>0</v>
      </c>
      <c r="O128">
        <v>0</v>
      </c>
      <c r="Q128">
        <v>0</v>
      </c>
    </row>
    <row r="129" spans="1:17" hidden="true">
      <c r="K129" t="str">
        <f>SUM(K125:K128)</f>
      </c>
      <c r="L129" t="str">
        <f>SUM(L125:L128)</f>
      </c>
      <c r="M129" t="str">
        <f>IFERROR(L129/K129*20,0)</f>
      </c>
      <c r="N129" t="str">
        <f>SUM(N125:N128)</f>
      </c>
      <c r="O129" t="str">
        <f>SUM(O125:O128)</f>
      </c>
      <c r="P129" t="str">
        <f>IFERROR(O129/N129*20,0)</f>
      </c>
      <c r="Q129" t="str">
        <f>SUM(Q125:Q128)</f>
      </c>
    </row>
    <row r="130" spans="1:17" hidden="true">
      <c r="L130" t="str">
        <f>IFERROR(SUM(L129,O129,Q129)*20/SUM(K129,N129,Q129),0)</f>
      </c>
    </row>
    <row r="131" spans="1:17" hidden="true">
      <c r="L131">
        <v>0</v>
      </c>
      <c r="O131">
        <v>0</v>
      </c>
      <c r="Q131">
        <v>0</v>
      </c>
    </row>
    <row r="132" spans="1:17" hidden="true">
      <c r="L132">
        <v>0</v>
      </c>
      <c r="O132">
        <v>0</v>
      </c>
      <c r="Q132">
        <v>0</v>
      </c>
    </row>
    <row r="133" spans="1:17" hidden="true">
      <c r="L133">
        <v>0</v>
      </c>
      <c r="O133">
        <v>0</v>
      </c>
      <c r="Q133">
        <v>0</v>
      </c>
    </row>
    <row r="134" spans="1:17" hidden="true">
      <c r="L134">
        <v>0</v>
      </c>
      <c r="O134">
        <v>0</v>
      </c>
      <c r="Q134">
        <v>0</v>
      </c>
    </row>
    <row r="135" spans="1:17" hidden="true">
      <c r="K135" t="str">
        <f>SUM(K131:K134)</f>
      </c>
      <c r="L135" t="str">
        <f>SUM(L131:L134)</f>
      </c>
      <c r="M135" t="str">
        <f>IFERROR(L135/K135*20,0)</f>
      </c>
      <c r="N135" t="str">
        <f>SUM(N131:N134)</f>
      </c>
      <c r="O135" t="str">
        <f>SUM(O131:O134)</f>
      </c>
      <c r="P135" t="str">
        <f>IFERROR(O135/N135*20,0)</f>
      </c>
      <c r="Q135" t="str">
        <f>SUM(Q131:Q134)</f>
      </c>
    </row>
    <row r="136" spans="1:17" hidden="true">
      <c r="L136" t="str">
        <f>IFERROR(SUM(L135,O135,Q135)*20/SUM(K135,N135,Q135),0)</f>
      </c>
    </row>
    <row r="137" spans="1:17" hidden="true">
      <c r="L137">
        <v>0</v>
      </c>
      <c r="O137">
        <v>0</v>
      </c>
      <c r="Q137">
        <v>0</v>
      </c>
    </row>
    <row r="138" spans="1:17" hidden="true">
      <c r="L138">
        <v>0</v>
      </c>
      <c r="O138">
        <v>0</v>
      </c>
      <c r="Q138">
        <v>0</v>
      </c>
    </row>
    <row r="139" spans="1:17" hidden="true">
      <c r="L139">
        <v>0</v>
      </c>
      <c r="O139">
        <v>0</v>
      </c>
      <c r="Q139">
        <v>0</v>
      </c>
    </row>
    <row r="140" spans="1:17" hidden="true">
      <c r="L140">
        <v>0</v>
      </c>
      <c r="O140">
        <v>0</v>
      </c>
      <c r="Q140">
        <v>0</v>
      </c>
    </row>
    <row r="141" spans="1:17" hidden="true">
      <c r="K141" t="str">
        <f>SUM(K137:K140)</f>
      </c>
      <c r="L141" t="str">
        <f>SUM(L137:L140)</f>
      </c>
      <c r="M141" t="str">
        <f>IFERROR(L141/K141*20,0)</f>
      </c>
      <c r="N141" t="str">
        <f>SUM(N137:N140)</f>
      </c>
      <c r="O141" t="str">
        <f>SUM(O137:O140)</f>
      </c>
      <c r="P141" t="str">
        <f>IFERROR(O141/N141*20,0)</f>
      </c>
      <c r="Q141" t="str">
        <f>SUM(Q137:Q140)</f>
      </c>
    </row>
    <row r="142" spans="1:17" hidden="true">
      <c r="L142" t="str">
        <f>IFERROR(SUM(L141,O141,Q141)*20/SUM(K141,N141,Q141),0)</f>
      </c>
    </row>
    <row r="143" spans="1:17" hidden="true">
      <c r="L143">
        <v>0</v>
      </c>
      <c r="O143">
        <v>0</v>
      </c>
      <c r="Q143">
        <v>0</v>
      </c>
    </row>
    <row r="144" spans="1:17" hidden="true">
      <c r="L144">
        <v>0</v>
      </c>
      <c r="O144">
        <v>0</v>
      </c>
      <c r="Q144">
        <v>0</v>
      </c>
    </row>
    <row r="145" spans="1:17" hidden="true">
      <c r="L145">
        <v>0</v>
      </c>
      <c r="O145">
        <v>0</v>
      </c>
      <c r="Q145">
        <v>0</v>
      </c>
    </row>
    <row r="146" spans="1:17" hidden="true">
      <c r="L146">
        <v>0</v>
      </c>
      <c r="O146">
        <v>0</v>
      </c>
      <c r="Q146">
        <v>0</v>
      </c>
    </row>
    <row r="147" spans="1:17" hidden="true">
      <c r="K147" t="str">
        <f>SUM(K143:K146)</f>
      </c>
      <c r="L147" t="str">
        <f>SUM(L143:L146)</f>
      </c>
      <c r="M147" t="str">
        <f>IFERROR(L147/K147*20,0)</f>
      </c>
      <c r="N147" t="str">
        <f>SUM(N143:N146)</f>
      </c>
      <c r="O147" t="str">
        <f>SUM(O143:O146)</f>
      </c>
      <c r="P147" t="str">
        <f>IFERROR(O147/N147*20,0)</f>
      </c>
      <c r="Q147" t="str">
        <f>SUM(Q143:Q146)</f>
      </c>
    </row>
    <row r="148" spans="1:17" hidden="true">
      <c r="L148" t="str">
        <f>IFERROR(SUM(L147,O147,Q147)*20/SUM(K147,N147,Q147),0)</f>
      </c>
    </row>
    <row r="149" spans="1:17" hidden="true">
      <c r="L149">
        <v>0</v>
      </c>
      <c r="O149">
        <v>0</v>
      </c>
      <c r="Q149">
        <v>0</v>
      </c>
    </row>
    <row r="150" spans="1:17" hidden="true">
      <c r="L150">
        <v>0</v>
      </c>
      <c r="O150">
        <v>0</v>
      </c>
      <c r="Q150">
        <v>0</v>
      </c>
    </row>
    <row r="151" spans="1:17" hidden="true">
      <c r="L151">
        <v>0</v>
      </c>
      <c r="O151">
        <v>0</v>
      </c>
      <c r="Q151">
        <v>0</v>
      </c>
    </row>
    <row r="152" spans="1:17" hidden="true">
      <c r="L152">
        <v>0</v>
      </c>
      <c r="O152">
        <v>0</v>
      </c>
      <c r="Q152">
        <v>0</v>
      </c>
    </row>
    <row r="153" spans="1:17" hidden="true">
      <c r="K153" t="str">
        <f>SUM(K149:K152)</f>
      </c>
      <c r="L153" t="str">
        <f>SUM(L149:L152)</f>
      </c>
      <c r="M153" t="str">
        <f>IFERROR(L153/K153*20,0)</f>
      </c>
      <c r="N153" t="str">
        <f>SUM(N149:N152)</f>
      </c>
      <c r="O153" t="str">
        <f>SUM(O149:O152)</f>
      </c>
      <c r="P153" t="str">
        <f>IFERROR(O153/N153*20,0)</f>
      </c>
      <c r="Q153" t="str">
        <f>SUM(Q149:Q152)</f>
      </c>
    </row>
    <row r="154" spans="1:17" hidden="true">
      <c r="L154" t="str">
        <f>IFERROR(SUM(L153,O153,Q153)*20/SUM(K153,N153,Q153),0)</f>
      </c>
    </row>
    <row r="155" spans="1:17" hidden="true">
      <c r="L155">
        <v>0</v>
      </c>
      <c r="O155">
        <v>0</v>
      </c>
      <c r="Q155">
        <v>0</v>
      </c>
    </row>
    <row r="156" spans="1:17" hidden="true">
      <c r="L156">
        <v>0</v>
      </c>
      <c r="O156">
        <v>0</v>
      </c>
      <c r="Q156">
        <v>0</v>
      </c>
    </row>
    <row r="157" spans="1:17" hidden="true">
      <c r="L157">
        <v>0</v>
      </c>
      <c r="O157">
        <v>0</v>
      </c>
      <c r="Q157">
        <v>0</v>
      </c>
    </row>
    <row r="158" spans="1:17" hidden="true">
      <c r="L158">
        <v>0</v>
      </c>
      <c r="O158">
        <v>0</v>
      </c>
      <c r="Q158">
        <v>0</v>
      </c>
    </row>
    <row r="159" spans="1:17" hidden="true">
      <c r="K159" t="str">
        <f>SUM(K155:K158)</f>
      </c>
      <c r="L159" t="str">
        <f>SUM(L155:L158)</f>
      </c>
      <c r="M159" t="str">
        <f>IFERROR(L159/K159*20,0)</f>
      </c>
      <c r="N159" t="str">
        <f>SUM(N155:N158)</f>
      </c>
      <c r="O159" t="str">
        <f>SUM(O155:O158)</f>
      </c>
      <c r="P159" t="str">
        <f>IFERROR(O159/N159*20,0)</f>
      </c>
      <c r="Q159" t="str">
        <f>SUM(Q155:Q158)</f>
      </c>
    </row>
    <row r="160" spans="1:17" hidden="true">
      <c r="L160" t="str">
        <f>IFERROR(SUM(L159,O159,Q159)*20/SUM(K159,N159,Q159),0)</f>
      </c>
    </row>
    <row r="161" spans="1:17" hidden="true">
      <c r="L161">
        <v>0</v>
      </c>
      <c r="O161">
        <v>0</v>
      </c>
      <c r="Q161">
        <v>0</v>
      </c>
    </row>
    <row r="162" spans="1:17" hidden="true">
      <c r="L162">
        <v>0</v>
      </c>
      <c r="O162">
        <v>0</v>
      </c>
      <c r="Q162">
        <v>0</v>
      </c>
    </row>
    <row r="163" spans="1:17" hidden="true">
      <c r="L163">
        <v>0</v>
      </c>
      <c r="O163">
        <v>0</v>
      </c>
      <c r="Q163">
        <v>0</v>
      </c>
    </row>
    <row r="164" spans="1:17" hidden="true">
      <c r="L164">
        <v>0</v>
      </c>
      <c r="O164">
        <v>0</v>
      </c>
      <c r="Q164">
        <v>0</v>
      </c>
    </row>
    <row r="165" spans="1:17" hidden="true">
      <c r="K165" t="str">
        <f>SUM(K161:K164)</f>
      </c>
      <c r="L165" t="str">
        <f>SUM(L161:L164)</f>
      </c>
      <c r="M165" t="str">
        <f>IFERROR(L165/K165*20,0)</f>
      </c>
      <c r="N165" t="str">
        <f>SUM(N161:N164)</f>
      </c>
      <c r="O165" t="str">
        <f>SUM(O161:O164)</f>
      </c>
      <c r="P165" t="str">
        <f>IFERROR(O165/N165*20,0)</f>
      </c>
      <c r="Q165" t="str">
        <f>SUM(Q161:Q164)</f>
      </c>
    </row>
    <row r="166" spans="1:17" hidden="true">
      <c r="L166" t="str">
        <f>IFERROR(SUM(L165,O165,Q165)*20/SUM(K165,N165,Q165),0)</f>
      </c>
    </row>
    <row r="167" spans="1:17" hidden="true">
      <c r="L167">
        <v>0</v>
      </c>
      <c r="O167">
        <v>0</v>
      </c>
      <c r="Q167">
        <v>0</v>
      </c>
    </row>
    <row r="168" spans="1:17" hidden="true">
      <c r="L168">
        <v>0</v>
      </c>
      <c r="O168">
        <v>0</v>
      </c>
      <c r="Q168">
        <v>0</v>
      </c>
    </row>
    <row r="169" spans="1:17" hidden="true">
      <c r="L169">
        <v>0</v>
      </c>
      <c r="O169">
        <v>0</v>
      </c>
      <c r="Q169">
        <v>0</v>
      </c>
    </row>
    <row r="170" spans="1:17" hidden="true">
      <c r="L170">
        <v>0</v>
      </c>
      <c r="O170">
        <v>0</v>
      </c>
      <c r="Q170">
        <v>0</v>
      </c>
    </row>
    <row r="171" spans="1:17" hidden="true">
      <c r="K171" t="str">
        <f>SUM(K167:K170)</f>
      </c>
      <c r="L171" t="str">
        <f>SUM(L167:L170)</f>
      </c>
      <c r="M171" t="str">
        <f>IFERROR(L171/K171*20,0)</f>
      </c>
      <c r="N171" t="str">
        <f>SUM(N167:N170)</f>
      </c>
      <c r="O171" t="str">
        <f>SUM(O167:O170)</f>
      </c>
      <c r="P171" t="str">
        <f>IFERROR(O171/N171*20,0)</f>
      </c>
      <c r="Q171" t="str">
        <f>SUM(Q167:Q170)</f>
      </c>
    </row>
    <row r="172" spans="1:17" hidden="true">
      <c r="L172" t="str">
        <f>IFERROR(SUM(L171,O171,Q171)*20/SUM(K171,N171,Q171),0)</f>
      </c>
    </row>
    <row r="173" spans="1:17" hidden="true">
      <c r="L173">
        <v>0</v>
      </c>
      <c r="O173">
        <v>0</v>
      </c>
      <c r="Q173">
        <v>0</v>
      </c>
    </row>
    <row r="174" spans="1:17" hidden="true">
      <c r="L174">
        <v>0</v>
      </c>
      <c r="O174">
        <v>0</v>
      </c>
      <c r="Q174">
        <v>0</v>
      </c>
    </row>
    <row r="175" spans="1:17" hidden="true">
      <c r="L175">
        <v>0</v>
      </c>
      <c r="O175">
        <v>0</v>
      </c>
      <c r="Q175">
        <v>0</v>
      </c>
    </row>
    <row r="176" spans="1:17" hidden="true">
      <c r="L176">
        <v>0</v>
      </c>
      <c r="O176">
        <v>0</v>
      </c>
      <c r="Q176">
        <v>0</v>
      </c>
    </row>
    <row r="177" spans="1:17" hidden="true">
      <c r="K177" t="str">
        <f>SUM(K173:K176)</f>
      </c>
      <c r="L177" t="str">
        <f>SUM(L173:L176)</f>
      </c>
      <c r="M177" t="str">
        <f>IFERROR(L177/K177*20,0)</f>
      </c>
      <c r="N177" t="str">
        <f>SUM(N173:N176)</f>
      </c>
      <c r="O177" t="str">
        <f>SUM(O173:O176)</f>
      </c>
      <c r="P177" t="str">
        <f>IFERROR(O177/N177*20,0)</f>
      </c>
      <c r="Q177" t="str">
        <f>SUM(Q173:Q176)</f>
      </c>
    </row>
    <row r="178" spans="1:17" hidden="true">
      <c r="L178" t="str">
        <f>IFERROR(SUM(L177,O177,Q177)*20/SUM(K177,N177,Q177),0)</f>
      </c>
    </row>
    <row r="179" spans="1:17" hidden="true">
      <c r="L179">
        <v>0</v>
      </c>
      <c r="O179">
        <v>0</v>
      </c>
      <c r="Q179">
        <v>0</v>
      </c>
    </row>
    <row r="180" spans="1:17" hidden="true">
      <c r="L180">
        <v>0</v>
      </c>
      <c r="O180">
        <v>0</v>
      </c>
      <c r="Q180">
        <v>0</v>
      </c>
    </row>
    <row r="181" spans="1:17" hidden="true">
      <c r="L181">
        <v>0</v>
      </c>
      <c r="O181">
        <v>0</v>
      </c>
      <c r="Q181">
        <v>0</v>
      </c>
    </row>
    <row r="182" spans="1:17" hidden="true">
      <c r="L182">
        <v>0</v>
      </c>
      <c r="O182">
        <v>0</v>
      </c>
      <c r="Q182">
        <v>0</v>
      </c>
    </row>
    <row r="183" spans="1:17" hidden="true">
      <c r="K183" t="str">
        <f>SUM(K179:K182)</f>
      </c>
      <c r="L183" t="str">
        <f>SUM(L179:L182)</f>
      </c>
      <c r="M183" t="str">
        <f>IFERROR(L183/K183*20,0)</f>
      </c>
      <c r="N183" t="str">
        <f>SUM(N179:N182)</f>
      </c>
      <c r="O183" t="str">
        <f>SUM(O179:O182)</f>
      </c>
      <c r="P183" t="str">
        <f>IFERROR(O183/N183*20,0)</f>
      </c>
      <c r="Q183" t="str">
        <f>SUM(Q179:Q182)</f>
      </c>
    </row>
    <row r="184" spans="1:17" hidden="true">
      <c r="L184" t="str">
        <f>IFERROR(SUM(L183,O183,Q183)*20/SUM(K183,N183,Q183),0)</f>
      </c>
    </row>
    <row r="185" spans="1:17" hidden="true">
      <c r="L185">
        <v>0</v>
      </c>
      <c r="O185">
        <v>0</v>
      </c>
      <c r="Q185">
        <v>0</v>
      </c>
    </row>
    <row r="186" spans="1:17" hidden="true">
      <c r="L186">
        <v>0</v>
      </c>
      <c r="O186">
        <v>0</v>
      </c>
      <c r="Q186">
        <v>0</v>
      </c>
    </row>
    <row r="187" spans="1:17" hidden="true">
      <c r="L187">
        <v>0</v>
      </c>
      <c r="O187">
        <v>0</v>
      </c>
      <c r="Q187">
        <v>0</v>
      </c>
    </row>
    <row r="188" spans="1:17" hidden="true">
      <c r="L188">
        <v>0</v>
      </c>
      <c r="O188">
        <v>0</v>
      </c>
      <c r="Q188">
        <v>0</v>
      </c>
    </row>
    <row r="189" spans="1:17" hidden="true">
      <c r="K189" t="str">
        <f>SUM(K185:K188)</f>
      </c>
      <c r="L189" t="str">
        <f>SUM(L185:L188)</f>
      </c>
      <c r="M189" t="str">
        <f>IFERROR(L189/K189*20,0)</f>
      </c>
      <c r="N189" t="str">
        <f>SUM(N185:N188)</f>
      </c>
      <c r="O189" t="str">
        <f>SUM(O185:O188)</f>
      </c>
      <c r="P189" t="str">
        <f>IFERROR(O189/N189*20,0)</f>
      </c>
      <c r="Q189" t="str">
        <f>SUM(Q185:Q188)</f>
      </c>
    </row>
    <row r="190" spans="1:17" hidden="true">
      <c r="L190" t="str">
        <f>IFERROR(SUM(L189,O189,Q189)*20/SUM(K189,N189,Q189),0)</f>
      </c>
    </row>
    <row r="191" spans="1:17" hidden="true">
      <c r="L191">
        <v>0</v>
      </c>
      <c r="O191">
        <v>0</v>
      </c>
      <c r="Q191">
        <v>0</v>
      </c>
    </row>
    <row r="192" spans="1:17" hidden="true">
      <c r="L192">
        <v>0</v>
      </c>
      <c r="O192">
        <v>0</v>
      </c>
      <c r="Q192">
        <v>0</v>
      </c>
    </row>
    <row r="193" spans="1:17" hidden="true">
      <c r="L193">
        <v>0</v>
      </c>
      <c r="O193">
        <v>0</v>
      </c>
      <c r="Q193">
        <v>0</v>
      </c>
    </row>
    <row r="194" spans="1:17" hidden="true">
      <c r="L194">
        <v>0</v>
      </c>
      <c r="O194">
        <v>0</v>
      </c>
      <c r="Q194">
        <v>0</v>
      </c>
    </row>
    <row r="195" spans="1:17" hidden="true">
      <c r="K195" t="str">
        <f>SUM(K191:K194)</f>
      </c>
      <c r="L195" t="str">
        <f>SUM(L191:L194)</f>
      </c>
      <c r="M195" t="str">
        <f>IFERROR(L195/K195*20,0)</f>
      </c>
      <c r="N195" t="str">
        <f>SUM(N191:N194)</f>
      </c>
      <c r="O195" t="str">
        <f>SUM(O191:O194)</f>
      </c>
      <c r="P195" t="str">
        <f>IFERROR(O195/N195*20,0)</f>
      </c>
      <c r="Q195" t="str">
        <f>SUM(Q191:Q194)</f>
      </c>
    </row>
    <row r="196" spans="1:17" hidden="true">
      <c r="L196" t="str">
        <f>IFERROR(SUM(L195,O195,Q195)*20/SUM(K195,N195,Q195),0)</f>
      </c>
    </row>
    <row r="199" spans="1:17">
      <c r="A199" t="s">
        <v>69</v>
      </c>
      <c r="F199" t="s">
        <v>68</v>
      </c>
      <c r="L199" t="s">
        <v>67</v>
      </c>
    </row>
    <row r="200" spans="1:17">
      <c r="A200" t="s">
        <v>66</v>
      </c>
      <c r="B200" t="s">
        <v>65</v>
      </c>
      <c r="C200" t="s">
        <v>64</v>
      </c>
      <c r="F200" t="s">
        <v>63</v>
      </c>
      <c r="G200" t="s">
        <v>19</v>
      </c>
      <c r="H200" t="s">
        <v>20</v>
      </c>
      <c r="J200" t="s">
        <v>62</v>
      </c>
    </row>
    <row r="201" spans="1:17">
      <c r="F201" t="s">
        <v>61</v>
      </c>
      <c r="G201" t="s">
        <v>60</v>
      </c>
      <c r="H201" t="s">
        <v>59</v>
      </c>
      <c r="J201" t="s">
        <v>58</v>
      </c>
    </row>
    <row r="202" spans="1:17">
      <c r="F202" t="s">
        <v>57</v>
      </c>
      <c r="G202">
        <v>14.03</v>
      </c>
      <c r="H202">
        <v>14.83</v>
      </c>
      <c r="J202">
        <v>14.43</v>
      </c>
    </row>
    <row r="203" spans="1:17">
      <c r="F203" t="s">
        <v>23</v>
      </c>
      <c r="G203" t="s">
        <v>30</v>
      </c>
      <c r="H203" t="s">
        <v>30</v>
      </c>
      <c r="J203" t="s">
        <v>30</v>
      </c>
    </row>
    <row r="204" spans="1:17">
      <c r="F204" t="s">
        <v>56</v>
      </c>
      <c r="G204" t="s">
        <v>55</v>
      </c>
      <c r="H204" t="s">
        <v>55</v>
      </c>
      <c r="J204" t="s">
        <v>54</v>
      </c>
    </row>
    <row r="208" spans="1:17">
      <c r="A208" t="s">
        <v>53</v>
      </c>
    </row>
    <row r="211" spans="1:17">
      <c r="A211" t="s">
        <v>52</v>
      </c>
    </row>
    <row r="213" spans="1:17">
      <c r="A213" t="s">
        <v>51</v>
      </c>
      <c r="F213" t="s">
        <v>50</v>
      </c>
      <c r="J213" t="s">
        <v>49</v>
      </c>
    </row>
    <row r="214" spans="1:17">
      <c r="A214" t="s">
        <v>48</v>
      </c>
    </row>
    <row r="215" spans="1:17">
      <c r="F215" t="s">
        <v>47</v>
      </c>
      <c r="G215" t="s">
        <v>46</v>
      </c>
      <c r="J215" t="s">
        <v>45</v>
      </c>
      <c r="L215" t="s">
        <v>44</v>
      </c>
    </row>
  </sheetData>
  <mergeCells>
    <mergeCell ref="A35:E35"/>
    <mergeCell ref="A68:E6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81"/>
  <sheetViews>
    <sheetView tabSelected="0" workbookViewId="0" showGridLines="true" showRowColHeaders="1" topLeftCell="G847">
      <selection activeCell="R402" sqref="R402"/>
    </sheetView>
  </sheetViews>
  <sheetFormatPr defaultRowHeight="14.4" defaultColWidth="9.109375" outlineLevelRow="0" outlineLevelCol="0"/>
  <cols>
    <col min="1" max="1" width="13.109375" customWidth="true" style="0"/>
    <col min="2" max="2" width="14.6640625" customWidth="true" style="0"/>
    <col min="3" max="3" width="15.6640625" customWidth="true" style="0"/>
    <col min="4" max="4" width="10.5546875" customWidth="true" style="0"/>
    <col min="5" max="5" width="13.88671875" customWidth="true" style="0"/>
    <col min="6" max="6" width="20" customWidth="true" style="0"/>
    <col min="7" max="7" width="19.44140625" customWidth="true" style="0"/>
    <col min="8" max="8" width="19.88671875" customWidth="true" style="0"/>
    <col min="9" max="9" width="16.5546875" customWidth="true" style="0"/>
    <col min="10" max="10" width="15.5546875" customWidth="true" style="0"/>
    <col min="11" max="11" width="18.44140625" customWidth="true" style="0"/>
    <col min="12" max="12" width="21.88671875" customWidth="true" style="0"/>
    <col min="13" max="13" width="10.6640625" customWidth="true" style="0"/>
    <col min="14" max="14" width="15.88671875" customWidth="true" style="0"/>
    <col min="15" max="15" width="19.33203125" customWidth="true" style="0"/>
    <col min="16" max="16" width="23" customWidth="true" style="0"/>
    <col min="17" max="17" width="26.44140625" customWidth="true" style="0"/>
  </cols>
  <sheetData>
    <row r="1" spans="1:18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</row>
    <row r="2" spans="1:18">
      <c r="A2">
        <v>1211</v>
      </c>
      <c r="B2" t="s">
        <v>88</v>
      </c>
      <c r="C2">
        <v>1</v>
      </c>
      <c r="D2">
        <v>9</v>
      </c>
      <c r="E2" t="s">
        <v>89</v>
      </c>
      <c r="F2" t="s">
        <v>90</v>
      </c>
      <c r="G2" t="s">
        <v>15</v>
      </c>
      <c r="H2" t="s">
        <v>91</v>
      </c>
      <c r="I2">
        <v>20</v>
      </c>
      <c r="J2">
        <v>17</v>
      </c>
      <c r="K2">
        <v>7</v>
      </c>
      <c r="L2" t="s">
        <v>92</v>
      </c>
      <c r="M2">
        <v>4</v>
      </c>
      <c r="N2">
        <v>1</v>
      </c>
      <c r="O2" t="s">
        <v>15</v>
      </c>
      <c r="P2">
        <v>1</v>
      </c>
      <c r="Q2" t="s">
        <v>90</v>
      </c>
      <c r="R2" t="s">
        <v>93</v>
      </c>
    </row>
    <row r="3" spans="1:18">
      <c r="A3">
        <v>1212</v>
      </c>
      <c r="B3" t="s">
        <v>88</v>
      </c>
      <c r="C3">
        <v>2</v>
      </c>
      <c r="D3">
        <v>10</v>
      </c>
      <c r="E3" t="s">
        <v>94</v>
      </c>
      <c r="F3" t="s">
        <v>90</v>
      </c>
      <c r="G3" t="s">
        <v>15</v>
      </c>
      <c r="H3" t="s">
        <v>91</v>
      </c>
      <c r="I3">
        <v>20</v>
      </c>
      <c r="J3">
        <v>9</v>
      </c>
      <c r="K3">
        <v>7</v>
      </c>
      <c r="L3" t="s">
        <v>92</v>
      </c>
      <c r="M3">
        <v>4</v>
      </c>
      <c r="N3">
        <v>1</v>
      </c>
      <c r="O3" t="s">
        <v>15</v>
      </c>
      <c r="P3">
        <v>1</v>
      </c>
      <c r="Q3" t="s">
        <v>90</v>
      </c>
      <c r="R3" t="s">
        <v>93</v>
      </c>
    </row>
    <row r="4" spans="1:18">
      <c r="A4">
        <v>1213</v>
      </c>
      <c r="B4" t="s">
        <v>88</v>
      </c>
      <c r="C4">
        <v>3</v>
      </c>
      <c r="D4">
        <v>9</v>
      </c>
      <c r="E4" t="s">
        <v>89</v>
      </c>
      <c r="F4" t="s">
        <v>90</v>
      </c>
      <c r="G4" t="s">
        <v>15</v>
      </c>
      <c r="H4" t="s">
        <v>91</v>
      </c>
      <c r="I4">
        <v>20</v>
      </c>
      <c r="J4">
        <v>0</v>
      </c>
      <c r="K4">
        <v>7</v>
      </c>
      <c r="L4" t="s">
        <v>92</v>
      </c>
      <c r="M4">
        <v>4</v>
      </c>
      <c r="N4">
        <v>1</v>
      </c>
      <c r="O4" t="s">
        <v>15</v>
      </c>
      <c r="P4">
        <v>1</v>
      </c>
      <c r="Q4" t="s">
        <v>90</v>
      </c>
      <c r="R4" t="s">
        <v>93</v>
      </c>
    </row>
    <row r="5" spans="1:18">
      <c r="A5">
        <v>1214</v>
      </c>
      <c r="B5" t="s">
        <v>88</v>
      </c>
      <c r="C5">
        <v>4</v>
      </c>
      <c r="D5">
        <v>9</v>
      </c>
      <c r="E5" t="s">
        <v>89</v>
      </c>
      <c r="F5" t="s">
        <v>90</v>
      </c>
      <c r="G5" t="s">
        <v>15</v>
      </c>
      <c r="H5" t="s">
        <v>91</v>
      </c>
      <c r="I5">
        <v>20</v>
      </c>
      <c r="J5">
        <v>0</v>
      </c>
      <c r="K5">
        <v>7</v>
      </c>
      <c r="L5" t="s">
        <v>92</v>
      </c>
      <c r="M5">
        <v>4</v>
      </c>
      <c r="N5">
        <v>1</v>
      </c>
      <c r="O5" t="s">
        <v>15</v>
      </c>
      <c r="P5">
        <v>1</v>
      </c>
      <c r="Q5" t="s">
        <v>90</v>
      </c>
      <c r="R5" t="s">
        <v>93</v>
      </c>
    </row>
    <row r="6" spans="1:18">
      <c r="A6">
        <v>1215</v>
      </c>
      <c r="B6" t="s">
        <v>88</v>
      </c>
      <c r="C6">
        <v>5</v>
      </c>
      <c r="D6">
        <v>9</v>
      </c>
      <c r="E6" t="s">
        <v>89</v>
      </c>
      <c r="F6" t="s">
        <v>90</v>
      </c>
      <c r="G6" t="s">
        <v>15</v>
      </c>
      <c r="H6" t="s">
        <v>91</v>
      </c>
      <c r="I6">
        <v>20</v>
      </c>
      <c r="J6">
        <v>0</v>
      </c>
      <c r="K6">
        <v>7</v>
      </c>
      <c r="L6" t="s">
        <v>92</v>
      </c>
      <c r="M6">
        <v>4</v>
      </c>
      <c r="N6">
        <v>1</v>
      </c>
      <c r="O6" t="s">
        <v>15</v>
      </c>
      <c r="P6">
        <v>1</v>
      </c>
      <c r="Q6" t="s">
        <v>90</v>
      </c>
      <c r="R6" t="s">
        <v>93</v>
      </c>
    </row>
    <row r="7" spans="1:18">
      <c r="A7">
        <v>1216</v>
      </c>
      <c r="B7" t="s">
        <v>88</v>
      </c>
      <c r="C7">
        <v>6</v>
      </c>
      <c r="D7">
        <v>10</v>
      </c>
      <c r="E7" t="s">
        <v>94</v>
      </c>
      <c r="F7" t="s">
        <v>90</v>
      </c>
      <c r="G7" t="s">
        <v>15</v>
      </c>
      <c r="H7" t="s">
        <v>91</v>
      </c>
      <c r="I7">
        <v>20</v>
      </c>
      <c r="J7">
        <v>0</v>
      </c>
      <c r="K7">
        <v>7</v>
      </c>
      <c r="L7" t="s">
        <v>92</v>
      </c>
      <c r="M7">
        <v>4</v>
      </c>
      <c r="N7">
        <v>1</v>
      </c>
      <c r="O7" t="s">
        <v>15</v>
      </c>
      <c r="P7">
        <v>1</v>
      </c>
      <c r="Q7" t="s">
        <v>90</v>
      </c>
      <c r="R7" t="s">
        <v>93</v>
      </c>
    </row>
    <row r="8" spans="1:18">
      <c r="A8">
        <v>1217</v>
      </c>
      <c r="B8" t="s">
        <v>88</v>
      </c>
      <c r="C8">
        <v>7</v>
      </c>
      <c r="D8">
        <v>10</v>
      </c>
      <c r="E8" t="s">
        <v>94</v>
      </c>
      <c r="F8" t="s">
        <v>90</v>
      </c>
      <c r="G8" t="s">
        <v>15</v>
      </c>
      <c r="H8" t="s">
        <v>91</v>
      </c>
      <c r="I8">
        <v>20</v>
      </c>
      <c r="J8">
        <v>0</v>
      </c>
      <c r="K8">
        <v>7</v>
      </c>
      <c r="L8" t="s">
        <v>92</v>
      </c>
      <c r="M8">
        <v>4</v>
      </c>
      <c r="N8">
        <v>1</v>
      </c>
      <c r="O8" t="s">
        <v>15</v>
      </c>
      <c r="P8">
        <v>1</v>
      </c>
      <c r="Q8" t="s">
        <v>90</v>
      </c>
      <c r="R8" t="s">
        <v>93</v>
      </c>
    </row>
    <row r="9" spans="1:18">
      <c r="A9">
        <v>1218</v>
      </c>
      <c r="B9" t="s">
        <v>88</v>
      </c>
      <c r="C9">
        <v>8</v>
      </c>
      <c r="D9">
        <v>10</v>
      </c>
      <c r="E9" t="s">
        <v>94</v>
      </c>
      <c r="F9" t="s">
        <v>90</v>
      </c>
      <c r="G9" t="s">
        <v>15</v>
      </c>
      <c r="H9" t="s">
        <v>91</v>
      </c>
      <c r="I9">
        <v>20</v>
      </c>
      <c r="J9">
        <v>0</v>
      </c>
      <c r="K9">
        <v>7</v>
      </c>
      <c r="L9" t="s">
        <v>92</v>
      </c>
      <c r="M9">
        <v>4</v>
      </c>
      <c r="N9">
        <v>1</v>
      </c>
      <c r="O9" t="s">
        <v>15</v>
      </c>
      <c r="P9">
        <v>1</v>
      </c>
      <c r="Q9" t="s">
        <v>90</v>
      </c>
      <c r="R9" t="s">
        <v>93</v>
      </c>
    </row>
    <row r="10" spans="1:18">
      <c r="A10">
        <v>1219</v>
      </c>
      <c r="B10" t="s">
        <v>88</v>
      </c>
      <c r="C10">
        <v>9</v>
      </c>
      <c r="D10">
        <v>10</v>
      </c>
      <c r="E10" t="s">
        <v>94</v>
      </c>
      <c r="F10" t="s">
        <v>90</v>
      </c>
      <c r="G10" t="s">
        <v>15</v>
      </c>
      <c r="H10" t="s">
        <v>91</v>
      </c>
      <c r="I10">
        <v>20</v>
      </c>
      <c r="J10">
        <v>0</v>
      </c>
      <c r="K10">
        <v>7</v>
      </c>
      <c r="L10" t="s">
        <v>92</v>
      </c>
      <c r="M10">
        <v>4</v>
      </c>
      <c r="N10">
        <v>1</v>
      </c>
      <c r="O10" t="s">
        <v>15</v>
      </c>
      <c r="P10">
        <v>1</v>
      </c>
      <c r="Q10" t="s">
        <v>90</v>
      </c>
      <c r="R10" t="s">
        <v>93</v>
      </c>
    </row>
    <row r="11" spans="1:18">
      <c r="A11">
        <v>1220</v>
      </c>
      <c r="B11" t="s">
        <v>88</v>
      </c>
      <c r="C11">
        <v>10</v>
      </c>
      <c r="D11">
        <v>9</v>
      </c>
      <c r="E11" t="s">
        <v>89</v>
      </c>
      <c r="F11" t="s">
        <v>90</v>
      </c>
      <c r="G11" t="s">
        <v>15</v>
      </c>
      <c r="H11" t="s">
        <v>91</v>
      </c>
      <c r="I11">
        <v>20</v>
      </c>
      <c r="J11">
        <v>0</v>
      </c>
      <c r="K11">
        <v>7</v>
      </c>
      <c r="L11" t="s">
        <v>92</v>
      </c>
      <c r="M11">
        <v>4</v>
      </c>
      <c r="N11">
        <v>1</v>
      </c>
      <c r="O11" t="s">
        <v>15</v>
      </c>
      <c r="P11">
        <v>1</v>
      </c>
      <c r="Q11" t="s">
        <v>90</v>
      </c>
      <c r="R11" t="s">
        <v>93</v>
      </c>
    </row>
    <row r="12" spans="1:18">
      <c r="A12">
        <v>1221</v>
      </c>
      <c r="B12" t="s">
        <v>88</v>
      </c>
      <c r="C12">
        <v>11</v>
      </c>
      <c r="D12">
        <v>11</v>
      </c>
      <c r="E12" t="s">
        <v>95</v>
      </c>
      <c r="F12" t="s">
        <v>90</v>
      </c>
      <c r="G12" t="s">
        <v>15</v>
      </c>
      <c r="H12" t="s">
        <v>91</v>
      </c>
      <c r="I12">
        <v>20</v>
      </c>
      <c r="J12">
        <v>17</v>
      </c>
      <c r="K12">
        <v>7</v>
      </c>
      <c r="L12" t="s">
        <v>92</v>
      </c>
      <c r="M12">
        <v>4</v>
      </c>
      <c r="N12">
        <v>1</v>
      </c>
      <c r="O12" t="s">
        <v>15</v>
      </c>
      <c r="P12">
        <v>1</v>
      </c>
      <c r="Q12" t="s">
        <v>90</v>
      </c>
      <c r="R12" t="s">
        <v>93</v>
      </c>
    </row>
    <row r="13" spans="1:18">
      <c r="A13">
        <v>1222</v>
      </c>
      <c r="B13" t="s">
        <v>88</v>
      </c>
      <c r="C13">
        <v>12</v>
      </c>
      <c r="D13">
        <v>11</v>
      </c>
      <c r="E13" t="s">
        <v>95</v>
      </c>
      <c r="F13" t="s">
        <v>90</v>
      </c>
      <c r="G13" t="s">
        <v>15</v>
      </c>
      <c r="H13" t="s">
        <v>91</v>
      </c>
      <c r="I13">
        <v>20</v>
      </c>
      <c r="J13">
        <v>0</v>
      </c>
      <c r="K13">
        <v>7</v>
      </c>
      <c r="L13" t="s">
        <v>92</v>
      </c>
      <c r="M13">
        <v>4</v>
      </c>
      <c r="N13">
        <v>1</v>
      </c>
      <c r="O13" t="s">
        <v>15</v>
      </c>
      <c r="P13">
        <v>1</v>
      </c>
      <c r="Q13" t="s">
        <v>90</v>
      </c>
      <c r="R13" t="s">
        <v>93</v>
      </c>
    </row>
    <row r="14" spans="1:18">
      <c r="A14">
        <v>1223</v>
      </c>
      <c r="B14" t="s">
        <v>88</v>
      </c>
      <c r="C14">
        <v>13</v>
      </c>
      <c r="D14">
        <v>11</v>
      </c>
      <c r="E14" t="s">
        <v>95</v>
      </c>
      <c r="F14" t="s">
        <v>90</v>
      </c>
      <c r="G14" t="s">
        <v>15</v>
      </c>
      <c r="H14" t="s">
        <v>91</v>
      </c>
      <c r="I14">
        <v>20</v>
      </c>
      <c r="J14">
        <v>0</v>
      </c>
      <c r="K14">
        <v>7</v>
      </c>
      <c r="L14" t="s">
        <v>92</v>
      </c>
      <c r="M14">
        <v>4</v>
      </c>
      <c r="N14">
        <v>1</v>
      </c>
      <c r="O14" t="s">
        <v>15</v>
      </c>
      <c r="P14">
        <v>1</v>
      </c>
      <c r="Q14" t="s">
        <v>90</v>
      </c>
      <c r="R14" t="s">
        <v>93</v>
      </c>
    </row>
    <row r="15" spans="1:18">
      <c r="A15">
        <v>1224</v>
      </c>
      <c r="B15" t="s">
        <v>88</v>
      </c>
      <c r="C15">
        <v>14</v>
      </c>
      <c r="D15">
        <v>11</v>
      </c>
      <c r="E15" t="s">
        <v>95</v>
      </c>
      <c r="F15" t="s">
        <v>90</v>
      </c>
      <c r="G15" t="s">
        <v>15</v>
      </c>
      <c r="H15" t="s">
        <v>91</v>
      </c>
      <c r="I15">
        <v>20</v>
      </c>
      <c r="J15">
        <v>0</v>
      </c>
      <c r="K15">
        <v>7</v>
      </c>
      <c r="L15" t="s">
        <v>92</v>
      </c>
      <c r="M15">
        <v>4</v>
      </c>
      <c r="N15">
        <v>1</v>
      </c>
      <c r="O15" t="s">
        <v>15</v>
      </c>
      <c r="P15">
        <v>1</v>
      </c>
      <c r="Q15" t="s">
        <v>90</v>
      </c>
      <c r="R15" t="s">
        <v>93</v>
      </c>
    </row>
    <row r="16" spans="1:18">
      <c r="A16">
        <v>1225</v>
      </c>
      <c r="B16" t="s">
        <v>88</v>
      </c>
      <c r="C16">
        <v>15</v>
      </c>
      <c r="D16">
        <v>11</v>
      </c>
      <c r="E16" t="s">
        <v>95</v>
      </c>
      <c r="F16" t="s">
        <v>90</v>
      </c>
      <c r="G16" t="s">
        <v>15</v>
      </c>
      <c r="H16" t="s">
        <v>91</v>
      </c>
      <c r="I16">
        <v>20</v>
      </c>
      <c r="J16">
        <v>0</v>
      </c>
      <c r="K16">
        <v>7</v>
      </c>
      <c r="L16" t="s">
        <v>92</v>
      </c>
      <c r="M16">
        <v>4</v>
      </c>
      <c r="N16">
        <v>1</v>
      </c>
      <c r="O16" t="s">
        <v>15</v>
      </c>
      <c r="P16">
        <v>1</v>
      </c>
      <c r="Q16" t="s">
        <v>90</v>
      </c>
      <c r="R16" t="s">
        <v>93</v>
      </c>
    </row>
    <row r="17" spans="1:18">
      <c r="A17">
        <v>1226</v>
      </c>
      <c r="B17" t="s">
        <v>88</v>
      </c>
      <c r="C17">
        <v>16</v>
      </c>
      <c r="D17">
        <v>11</v>
      </c>
      <c r="E17" t="s">
        <v>95</v>
      </c>
      <c r="F17" t="s">
        <v>90</v>
      </c>
      <c r="G17" t="s">
        <v>15</v>
      </c>
      <c r="H17" t="s">
        <v>91</v>
      </c>
      <c r="I17">
        <v>20</v>
      </c>
      <c r="J17">
        <v>0</v>
      </c>
      <c r="K17">
        <v>7</v>
      </c>
      <c r="L17" t="s">
        <v>92</v>
      </c>
      <c r="M17">
        <v>4</v>
      </c>
      <c r="N17">
        <v>1</v>
      </c>
      <c r="O17" t="s">
        <v>15</v>
      </c>
      <c r="P17">
        <v>1</v>
      </c>
      <c r="Q17" t="s">
        <v>90</v>
      </c>
      <c r="R17" t="s">
        <v>93</v>
      </c>
    </row>
    <row r="18" spans="1:18">
      <c r="A18">
        <v>1227</v>
      </c>
      <c r="B18" t="s">
        <v>88</v>
      </c>
      <c r="C18">
        <v>17</v>
      </c>
      <c r="D18">
        <v>11</v>
      </c>
      <c r="E18" t="s">
        <v>95</v>
      </c>
      <c r="F18" t="s">
        <v>90</v>
      </c>
      <c r="G18" t="s">
        <v>15</v>
      </c>
      <c r="H18" t="s">
        <v>91</v>
      </c>
      <c r="I18">
        <v>20</v>
      </c>
      <c r="J18">
        <v>0</v>
      </c>
      <c r="K18">
        <v>7</v>
      </c>
      <c r="L18" t="s">
        <v>92</v>
      </c>
      <c r="M18">
        <v>4</v>
      </c>
      <c r="N18">
        <v>1</v>
      </c>
      <c r="O18" t="s">
        <v>15</v>
      </c>
      <c r="P18">
        <v>1</v>
      </c>
      <c r="Q18" t="s">
        <v>90</v>
      </c>
      <c r="R18" t="s">
        <v>93</v>
      </c>
    </row>
    <row r="19" spans="1:18">
      <c r="A19">
        <v>1228</v>
      </c>
      <c r="B19" t="s">
        <v>88</v>
      </c>
      <c r="C19">
        <v>18</v>
      </c>
      <c r="D19">
        <v>11</v>
      </c>
      <c r="E19" t="s">
        <v>95</v>
      </c>
      <c r="F19" t="s">
        <v>90</v>
      </c>
      <c r="G19" t="s">
        <v>15</v>
      </c>
      <c r="H19" t="s">
        <v>91</v>
      </c>
      <c r="I19">
        <v>20</v>
      </c>
      <c r="J19">
        <v>0</v>
      </c>
      <c r="K19">
        <v>7</v>
      </c>
      <c r="L19" t="s">
        <v>92</v>
      </c>
      <c r="M19">
        <v>4</v>
      </c>
      <c r="N19">
        <v>1</v>
      </c>
      <c r="O19" t="s">
        <v>15</v>
      </c>
      <c r="P19">
        <v>1</v>
      </c>
      <c r="Q19" t="s">
        <v>90</v>
      </c>
      <c r="R19" t="s">
        <v>93</v>
      </c>
    </row>
    <row r="20" spans="1:18">
      <c r="A20">
        <v>1229</v>
      </c>
      <c r="B20" t="s">
        <v>88</v>
      </c>
      <c r="C20">
        <v>19</v>
      </c>
      <c r="D20">
        <v>11</v>
      </c>
      <c r="E20" t="s">
        <v>95</v>
      </c>
      <c r="F20" t="s">
        <v>90</v>
      </c>
      <c r="G20" t="s">
        <v>15</v>
      </c>
      <c r="H20" t="s">
        <v>91</v>
      </c>
      <c r="I20">
        <v>20</v>
      </c>
      <c r="J20">
        <v>0</v>
      </c>
      <c r="K20">
        <v>7</v>
      </c>
      <c r="L20" t="s">
        <v>92</v>
      </c>
      <c r="M20">
        <v>4</v>
      </c>
      <c r="N20">
        <v>1</v>
      </c>
      <c r="O20" t="s">
        <v>15</v>
      </c>
      <c r="P20">
        <v>1</v>
      </c>
      <c r="Q20" t="s">
        <v>90</v>
      </c>
      <c r="R20" t="s">
        <v>93</v>
      </c>
    </row>
    <row r="21" spans="1:18">
      <c r="A21">
        <v>1230</v>
      </c>
      <c r="B21" t="s">
        <v>88</v>
      </c>
      <c r="C21">
        <v>20</v>
      </c>
      <c r="D21">
        <v>11</v>
      </c>
      <c r="E21" t="s">
        <v>95</v>
      </c>
      <c r="F21" t="s">
        <v>90</v>
      </c>
      <c r="G21" t="s">
        <v>15</v>
      </c>
      <c r="H21" t="s">
        <v>91</v>
      </c>
      <c r="I21">
        <v>20</v>
      </c>
      <c r="J21">
        <v>0</v>
      </c>
      <c r="K21">
        <v>7</v>
      </c>
      <c r="L21" t="s">
        <v>92</v>
      </c>
      <c r="M21">
        <v>4</v>
      </c>
      <c r="N21">
        <v>1</v>
      </c>
      <c r="O21" t="s">
        <v>15</v>
      </c>
      <c r="P21">
        <v>1</v>
      </c>
      <c r="Q21" t="s">
        <v>90</v>
      </c>
      <c r="R21" t="s">
        <v>93</v>
      </c>
    </row>
    <row r="22" spans="1:18">
      <c r="A22">
        <v>1231</v>
      </c>
      <c r="B22" t="s">
        <v>88</v>
      </c>
      <c r="C22">
        <v>21</v>
      </c>
      <c r="D22">
        <v>9</v>
      </c>
      <c r="E22" t="s">
        <v>89</v>
      </c>
      <c r="F22" t="s">
        <v>90</v>
      </c>
      <c r="G22" t="s">
        <v>15</v>
      </c>
      <c r="H22" t="s">
        <v>91</v>
      </c>
      <c r="I22">
        <v>20</v>
      </c>
      <c r="J22">
        <v>0</v>
      </c>
      <c r="K22">
        <v>7</v>
      </c>
      <c r="L22" t="s">
        <v>92</v>
      </c>
      <c r="M22">
        <v>4</v>
      </c>
      <c r="N22">
        <v>1</v>
      </c>
      <c r="O22" t="s">
        <v>15</v>
      </c>
      <c r="P22">
        <v>1</v>
      </c>
      <c r="Q22" t="s">
        <v>90</v>
      </c>
      <c r="R22" t="s">
        <v>93</v>
      </c>
    </row>
    <row r="23" spans="1:18">
      <c r="A23">
        <v>1232</v>
      </c>
      <c r="B23" t="s">
        <v>88</v>
      </c>
      <c r="C23">
        <v>22</v>
      </c>
      <c r="D23">
        <v>10</v>
      </c>
      <c r="E23" t="s">
        <v>94</v>
      </c>
      <c r="F23" t="s">
        <v>90</v>
      </c>
      <c r="G23" t="s">
        <v>15</v>
      </c>
      <c r="H23" t="s">
        <v>91</v>
      </c>
      <c r="I23">
        <v>20</v>
      </c>
      <c r="J23">
        <v>0</v>
      </c>
      <c r="K23">
        <v>7</v>
      </c>
      <c r="L23" t="s">
        <v>92</v>
      </c>
      <c r="M23">
        <v>4</v>
      </c>
      <c r="N23">
        <v>1</v>
      </c>
      <c r="O23" t="s">
        <v>15</v>
      </c>
      <c r="P23">
        <v>1</v>
      </c>
      <c r="Q23" t="s">
        <v>90</v>
      </c>
      <c r="R23" t="s">
        <v>93</v>
      </c>
    </row>
    <row r="24" spans="1:18">
      <c r="A24">
        <v>1233</v>
      </c>
      <c r="B24" t="s">
        <v>88</v>
      </c>
      <c r="C24">
        <v>23</v>
      </c>
      <c r="D24">
        <v>9</v>
      </c>
      <c r="E24" t="s">
        <v>89</v>
      </c>
      <c r="F24" t="s">
        <v>90</v>
      </c>
      <c r="G24" t="s">
        <v>15</v>
      </c>
      <c r="H24" t="s">
        <v>91</v>
      </c>
      <c r="I24">
        <v>20</v>
      </c>
      <c r="J24">
        <v>0</v>
      </c>
      <c r="K24">
        <v>7</v>
      </c>
      <c r="L24" t="s">
        <v>92</v>
      </c>
      <c r="M24">
        <v>4</v>
      </c>
      <c r="N24">
        <v>1</v>
      </c>
      <c r="O24" t="s">
        <v>15</v>
      </c>
      <c r="P24">
        <v>1</v>
      </c>
      <c r="Q24" t="s">
        <v>90</v>
      </c>
      <c r="R24" t="s">
        <v>93</v>
      </c>
    </row>
    <row r="25" spans="1:18">
      <c r="A25">
        <v>1234</v>
      </c>
      <c r="B25" t="s">
        <v>88</v>
      </c>
      <c r="C25">
        <v>24</v>
      </c>
      <c r="D25">
        <v>10</v>
      </c>
      <c r="E25" t="s">
        <v>94</v>
      </c>
      <c r="F25" t="s">
        <v>90</v>
      </c>
      <c r="G25" t="s">
        <v>15</v>
      </c>
      <c r="H25" t="s">
        <v>91</v>
      </c>
      <c r="I25">
        <v>20</v>
      </c>
      <c r="J25">
        <v>0</v>
      </c>
      <c r="K25">
        <v>7</v>
      </c>
      <c r="L25" t="s">
        <v>92</v>
      </c>
      <c r="M25">
        <v>4</v>
      </c>
      <c r="N25">
        <v>1</v>
      </c>
      <c r="O25" t="s">
        <v>15</v>
      </c>
      <c r="P25">
        <v>1</v>
      </c>
      <c r="Q25" t="s">
        <v>90</v>
      </c>
      <c r="R25" t="s">
        <v>93</v>
      </c>
    </row>
    <row r="26" spans="1:18">
      <c r="A26">
        <v>1235</v>
      </c>
      <c r="B26" t="s">
        <v>88</v>
      </c>
      <c r="C26">
        <v>25</v>
      </c>
      <c r="D26">
        <v>9</v>
      </c>
      <c r="E26" t="s">
        <v>89</v>
      </c>
      <c r="F26" t="s">
        <v>90</v>
      </c>
      <c r="G26" t="s">
        <v>15</v>
      </c>
      <c r="H26" t="s">
        <v>91</v>
      </c>
      <c r="I26">
        <v>20</v>
      </c>
      <c r="J26">
        <v>0</v>
      </c>
      <c r="K26">
        <v>7</v>
      </c>
      <c r="L26" t="s">
        <v>92</v>
      </c>
      <c r="M26">
        <v>4</v>
      </c>
      <c r="N26">
        <v>1</v>
      </c>
      <c r="O26" t="s">
        <v>15</v>
      </c>
      <c r="P26">
        <v>1</v>
      </c>
      <c r="Q26" t="s">
        <v>90</v>
      </c>
      <c r="R26" t="s">
        <v>93</v>
      </c>
    </row>
    <row r="27" spans="1:18">
      <c r="A27">
        <v>1236</v>
      </c>
      <c r="B27" t="s">
        <v>88</v>
      </c>
      <c r="C27">
        <v>26</v>
      </c>
      <c r="D27">
        <v>10</v>
      </c>
      <c r="E27" t="s">
        <v>94</v>
      </c>
      <c r="F27" t="s">
        <v>90</v>
      </c>
      <c r="G27" t="s">
        <v>15</v>
      </c>
      <c r="H27" t="s">
        <v>91</v>
      </c>
      <c r="I27">
        <v>20</v>
      </c>
      <c r="J27">
        <v>0</v>
      </c>
      <c r="K27">
        <v>7</v>
      </c>
      <c r="L27" t="s">
        <v>92</v>
      </c>
      <c r="M27">
        <v>4</v>
      </c>
      <c r="N27">
        <v>1</v>
      </c>
      <c r="O27" t="s">
        <v>15</v>
      </c>
      <c r="P27">
        <v>1</v>
      </c>
      <c r="Q27" t="s">
        <v>90</v>
      </c>
      <c r="R27" t="s">
        <v>93</v>
      </c>
    </row>
    <row r="28" spans="1:18">
      <c r="A28">
        <v>1237</v>
      </c>
      <c r="B28" t="s">
        <v>88</v>
      </c>
      <c r="C28">
        <v>27</v>
      </c>
      <c r="D28">
        <v>9</v>
      </c>
      <c r="E28" t="s">
        <v>89</v>
      </c>
      <c r="F28" t="s">
        <v>90</v>
      </c>
      <c r="G28" t="s">
        <v>15</v>
      </c>
      <c r="H28" t="s">
        <v>91</v>
      </c>
      <c r="I28">
        <v>20</v>
      </c>
      <c r="J28">
        <v>0</v>
      </c>
      <c r="K28">
        <v>7</v>
      </c>
      <c r="L28" t="s">
        <v>92</v>
      </c>
      <c r="M28">
        <v>4</v>
      </c>
      <c r="N28">
        <v>1</v>
      </c>
      <c r="O28" t="s">
        <v>15</v>
      </c>
      <c r="P28">
        <v>1</v>
      </c>
      <c r="Q28" t="s">
        <v>90</v>
      </c>
      <c r="R28" t="s">
        <v>93</v>
      </c>
    </row>
    <row r="29" spans="1:18">
      <c r="A29">
        <v>1238</v>
      </c>
      <c r="B29" t="s">
        <v>88</v>
      </c>
      <c r="C29">
        <v>28</v>
      </c>
      <c r="D29">
        <v>10</v>
      </c>
      <c r="E29" t="s">
        <v>94</v>
      </c>
      <c r="F29" t="s">
        <v>90</v>
      </c>
      <c r="G29" t="s">
        <v>15</v>
      </c>
      <c r="H29" t="s">
        <v>91</v>
      </c>
      <c r="I29">
        <v>20</v>
      </c>
      <c r="J29">
        <v>0</v>
      </c>
      <c r="K29">
        <v>7</v>
      </c>
      <c r="L29" t="s">
        <v>92</v>
      </c>
      <c r="M29">
        <v>4</v>
      </c>
      <c r="N29">
        <v>1</v>
      </c>
      <c r="O29" t="s">
        <v>15</v>
      </c>
      <c r="P29">
        <v>1</v>
      </c>
      <c r="Q29" t="s">
        <v>90</v>
      </c>
      <c r="R29" t="s">
        <v>93</v>
      </c>
    </row>
    <row r="30" spans="1:18">
      <c r="A30">
        <v>1239</v>
      </c>
      <c r="B30" t="s">
        <v>88</v>
      </c>
      <c r="C30">
        <v>29</v>
      </c>
      <c r="D30">
        <v>9</v>
      </c>
      <c r="E30" t="s">
        <v>89</v>
      </c>
      <c r="F30" t="s">
        <v>90</v>
      </c>
      <c r="G30" t="s">
        <v>15</v>
      </c>
      <c r="H30" t="s">
        <v>91</v>
      </c>
      <c r="I30">
        <v>20</v>
      </c>
      <c r="J30">
        <v>0</v>
      </c>
      <c r="K30">
        <v>7</v>
      </c>
      <c r="L30" t="s">
        <v>92</v>
      </c>
      <c r="M30">
        <v>4</v>
      </c>
      <c r="N30">
        <v>1</v>
      </c>
      <c r="O30" t="s">
        <v>15</v>
      </c>
      <c r="P30">
        <v>1</v>
      </c>
      <c r="Q30" t="s">
        <v>90</v>
      </c>
      <c r="R30" t="s">
        <v>93</v>
      </c>
    </row>
    <row r="31" spans="1:18">
      <c r="A31">
        <v>1240</v>
      </c>
      <c r="B31" t="s">
        <v>88</v>
      </c>
      <c r="C31">
        <v>30</v>
      </c>
      <c r="D31">
        <v>10</v>
      </c>
      <c r="E31" t="s">
        <v>94</v>
      </c>
      <c r="F31" t="s">
        <v>90</v>
      </c>
      <c r="G31" t="s">
        <v>15</v>
      </c>
      <c r="H31" t="s">
        <v>91</v>
      </c>
      <c r="I31">
        <v>20</v>
      </c>
      <c r="J31">
        <v>0</v>
      </c>
      <c r="K31">
        <v>7</v>
      </c>
      <c r="L31" t="s">
        <v>92</v>
      </c>
      <c r="M31">
        <v>4</v>
      </c>
      <c r="N31">
        <v>1</v>
      </c>
      <c r="O31" t="s">
        <v>15</v>
      </c>
      <c r="P31">
        <v>1</v>
      </c>
      <c r="Q31" t="s">
        <v>90</v>
      </c>
      <c r="R31" t="s">
        <v>93</v>
      </c>
    </row>
    <row r="32" spans="1:18">
      <c r="A32">
        <v>1241</v>
      </c>
      <c r="B32" t="s">
        <v>88</v>
      </c>
      <c r="C32">
        <v>31</v>
      </c>
      <c r="D32">
        <v>12</v>
      </c>
      <c r="E32" t="s">
        <v>96</v>
      </c>
      <c r="F32" t="s">
        <v>90</v>
      </c>
      <c r="G32" t="s">
        <v>15</v>
      </c>
      <c r="H32" t="s">
        <v>91</v>
      </c>
      <c r="I32">
        <v>20</v>
      </c>
      <c r="J32">
        <v>0</v>
      </c>
      <c r="K32">
        <v>7</v>
      </c>
      <c r="L32" t="s">
        <v>92</v>
      </c>
      <c r="M32">
        <v>4</v>
      </c>
      <c r="N32">
        <v>1</v>
      </c>
      <c r="O32" t="s">
        <v>15</v>
      </c>
      <c r="P32">
        <v>1</v>
      </c>
      <c r="Q32" t="s">
        <v>90</v>
      </c>
      <c r="R32" t="s">
        <v>93</v>
      </c>
    </row>
    <row r="33" spans="1:18">
      <c r="A33">
        <v>1242</v>
      </c>
      <c r="B33" t="s">
        <v>88</v>
      </c>
      <c r="C33">
        <v>32</v>
      </c>
      <c r="D33">
        <v>12</v>
      </c>
      <c r="E33" t="s">
        <v>96</v>
      </c>
      <c r="F33" t="s">
        <v>90</v>
      </c>
      <c r="G33" t="s">
        <v>15</v>
      </c>
      <c r="H33" t="s">
        <v>91</v>
      </c>
      <c r="I33">
        <v>20</v>
      </c>
      <c r="J33">
        <v>0</v>
      </c>
      <c r="K33">
        <v>7</v>
      </c>
      <c r="L33" t="s">
        <v>92</v>
      </c>
      <c r="M33">
        <v>4</v>
      </c>
      <c r="N33">
        <v>1</v>
      </c>
      <c r="O33" t="s">
        <v>15</v>
      </c>
      <c r="P33">
        <v>1</v>
      </c>
      <c r="Q33" t="s">
        <v>90</v>
      </c>
      <c r="R33" t="s">
        <v>93</v>
      </c>
    </row>
    <row r="34" spans="1:18">
      <c r="A34">
        <v>1243</v>
      </c>
      <c r="B34" t="s">
        <v>88</v>
      </c>
      <c r="C34">
        <v>33</v>
      </c>
      <c r="D34">
        <v>12</v>
      </c>
      <c r="E34" t="s">
        <v>96</v>
      </c>
      <c r="F34" t="s">
        <v>90</v>
      </c>
      <c r="G34" t="s">
        <v>15</v>
      </c>
      <c r="H34" t="s">
        <v>91</v>
      </c>
      <c r="I34">
        <v>20</v>
      </c>
      <c r="J34">
        <v>0</v>
      </c>
      <c r="K34">
        <v>7</v>
      </c>
      <c r="L34" t="s">
        <v>92</v>
      </c>
      <c r="M34">
        <v>4</v>
      </c>
      <c r="N34">
        <v>1</v>
      </c>
      <c r="O34" t="s">
        <v>15</v>
      </c>
      <c r="P34">
        <v>1</v>
      </c>
      <c r="Q34" t="s">
        <v>90</v>
      </c>
      <c r="R34" t="s">
        <v>93</v>
      </c>
    </row>
    <row r="35" spans="1:18">
      <c r="A35">
        <v>1244</v>
      </c>
      <c r="B35" t="s">
        <v>88</v>
      </c>
      <c r="C35">
        <v>34</v>
      </c>
      <c r="D35">
        <v>12</v>
      </c>
      <c r="E35" t="s">
        <v>96</v>
      </c>
      <c r="F35" t="s">
        <v>90</v>
      </c>
      <c r="G35" t="s">
        <v>15</v>
      </c>
      <c r="H35" t="s">
        <v>91</v>
      </c>
      <c r="I35">
        <v>20</v>
      </c>
      <c r="J35">
        <v>0</v>
      </c>
      <c r="K35">
        <v>7</v>
      </c>
      <c r="L35" t="s">
        <v>92</v>
      </c>
      <c r="M35">
        <v>4</v>
      </c>
      <c r="N35">
        <v>1</v>
      </c>
      <c r="O35" t="s">
        <v>15</v>
      </c>
      <c r="P35">
        <v>1</v>
      </c>
      <c r="Q35" t="s">
        <v>90</v>
      </c>
      <c r="R35" t="s">
        <v>93</v>
      </c>
    </row>
    <row r="36" spans="1:18">
      <c r="A36">
        <v>1245</v>
      </c>
      <c r="B36" t="s">
        <v>88</v>
      </c>
      <c r="C36">
        <v>35</v>
      </c>
      <c r="D36">
        <v>12</v>
      </c>
      <c r="E36" t="s">
        <v>96</v>
      </c>
      <c r="F36" t="s">
        <v>90</v>
      </c>
      <c r="G36" t="s">
        <v>15</v>
      </c>
      <c r="H36" t="s">
        <v>91</v>
      </c>
      <c r="I36">
        <v>20</v>
      </c>
      <c r="J36">
        <v>0</v>
      </c>
      <c r="K36">
        <v>7</v>
      </c>
      <c r="L36" t="s">
        <v>92</v>
      </c>
      <c r="M36">
        <v>4</v>
      </c>
      <c r="N36">
        <v>1</v>
      </c>
      <c r="O36" t="s">
        <v>15</v>
      </c>
      <c r="P36">
        <v>1</v>
      </c>
      <c r="Q36" t="s">
        <v>90</v>
      </c>
      <c r="R36" t="s">
        <v>93</v>
      </c>
    </row>
    <row r="37" spans="1:18">
      <c r="A37">
        <v>1246</v>
      </c>
      <c r="B37" t="s">
        <v>88</v>
      </c>
      <c r="C37">
        <v>36</v>
      </c>
      <c r="D37">
        <v>12</v>
      </c>
      <c r="E37" t="s">
        <v>96</v>
      </c>
      <c r="F37" t="s">
        <v>90</v>
      </c>
      <c r="G37" t="s">
        <v>15</v>
      </c>
      <c r="H37" t="s">
        <v>91</v>
      </c>
      <c r="I37">
        <v>20</v>
      </c>
      <c r="J37">
        <v>0</v>
      </c>
      <c r="K37">
        <v>7</v>
      </c>
      <c r="L37" t="s">
        <v>92</v>
      </c>
      <c r="M37">
        <v>4</v>
      </c>
      <c r="N37">
        <v>1</v>
      </c>
      <c r="O37" t="s">
        <v>15</v>
      </c>
      <c r="P37">
        <v>1</v>
      </c>
      <c r="Q37" t="s">
        <v>90</v>
      </c>
      <c r="R37" t="s">
        <v>93</v>
      </c>
    </row>
    <row r="38" spans="1:18">
      <c r="A38">
        <v>1247</v>
      </c>
      <c r="B38" t="s">
        <v>88</v>
      </c>
      <c r="C38">
        <v>37</v>
      </c>
      <c r="D38">
        <v>12</v>
      </c>
      <c r="E38" t="s">
        <v>96</v>
      </c>
      <c r="F38" t="s">
        <v>90</v>
      </c>
      <c r="G38" t="s">
        <v>15</v>
      </c>
      <c r="H38" t="s">
        <v>91</v>
      </c>
      <c r="I38">
        <v>20</v>
      </c>
      <c r="J38">
        <v>0</v>
      </c>
      <c r="K38">
        <v>7</v>
      </c>
      <c r="L38" t="s">
        <v>92</v>
      </c>
      <c r="M38">
        <v>4</v>
      </c>
      <c r="N38">
        <v>1</v>
      </c>
      <c r="O38" t="s">
        <v>15</v>
      </c>
      <c r="P38">
        <v>1</v>
      </c>
      <c r="Q38" t="s">
        <v>90</v>
      </c>
      <c r="R38" t="s">
        <v>93</v>
      </c>
    </row>
    <row r="39" spans="1:18">
      <c r="A39">
        <v>1248</v>
      </c>
      <c r="B39" t="s">
        <v>88</v>
      </c>
      <c r="C39">
        <v>38</v>
      </c>
      <c r="D39">
        <v>12</v>
      </c>
      <c r="E39" t="s">
        <v>96</v>
      </c>
      <c r="F39" t="s">
        <v>90</v>
      </c>
      <c r="G39" t="s">
        <v>15</v>
      </c>
      <c r="H39" t="s">
        <v>91</v>
      </c>
      <c r="I39">
        <v>20</v>
      </c>
      <c r="J39">
        <v>0</v>
      </c>
      <c r="K39">
        <v>7</v>
      </c>
      <c r="L39" t="s">
        <v>92</v>
      </c>
      <c r="M39">
        <v>4</v>
      </c>
      <c r="N39">
        <v>1</v>
      </c>
      <c r="O39" t="s">
        <v>15</v>
      </c>
      <c r="P39">
        <v>1</v>
      </c>
      <c r="Q39" t="s">
        <v>90</v>
      </c>
      <c r="R39" t="s">
        <v>93</v>
      </c>
    </row>
    <row r="40" spans="1:18">
      <c r="A40">
        <v>1249</v>
      </c>
      <c r="B40" t="s">
        <v>88</v>
      </c>
      <c r="C40">
        <v>39</v>
      </c>
      <c r="D40">
        <v>12</v>
      </c>
      <c r="E40" t="s">
        <v>96</v>
      </c>
      <c r="F40" t="s">
        <v>90</v>
      </c>
      <c r="G40" t="s">
        <v>15</v>
      </c>
      <c r="H40" t="s">
        <v>91</v>
      </c>
      <c r="I40">
        <v>20</v>
      </c>
      <c r="J40">
        <v>0</v>
      </c>
      <c r="K40">
        <v>7</v>
      </c>
      <c r="L40" t="s">
        <v>92</v>
      </c>
      <c r="M40">
        <v>4</v>
      </c>
      <c r="N40">
        <v>1</v>
      </c>
      <c r="O40" t="s">
        <v>15</v>
      </c>
      <c r="P40">
        <v>1</v>
      </c>
      <c r="Q40" t="s">
        <v>90</v>
      </c>
      <c r="R40" t="s">
        <v>93</v>
      </c>
    </row>
    <row r="41" spans="1:18">
      <c r="A41">
        <v>1250</v>
      </c>
      <c r="B41" t="s">
        <v>88</v>
      </c>
      <c r="C41">
        <v>40</v>
      </c>
      <c r="D41">
        <v>12</v>
      </c>
      <c r="E41" t="s">
        <v>96</v>
      </c>
      <c r="F41" t="s">
        <v>90</v>
      </c>
      <c r="G41" t="s">
        <v>15</v>
      </c>
      <c r="H41" t="s">
        <v>91</v>
      </c>
      <c r="I41">
        <v>20</v>
      </c>
      <c r="J41">
        <v>0</v>
      </c>
      <c r="K41">
        <v>7</v>
      </c>
      <c r="L41" t="s">
        <v>92</v>
      </c>
      <c r="M41">
        <v>4</v>
      </c>
      <c r="N41">
        <v>1</v>
      </c>
      <c r="O41" t="s">
        <v>15</v>
      </c>
      <c r="P41">
        <v>1</v>
      </c>
      <c r="Q41" t="s">
        <v>90</v>
      </c>
      <c r="R41" t="s">
        <v>93</v>
      </c>
    </row>
    <row r="42" spans="1:18">
      <c r="A42">
        <v>1251</v>
      </c>
      <c r="B42" t="s">
        <v>97</v>
      </c>
      <c r="C42">
        <v>1</v>
      </c>
      <c r="D42">
        <v>9</v>
      </c>
      <c r="E42" t="s">
        <v>89</v>
      </c>
      <c r="F42" t="s">
        <v>90</v>
      </c>
      <c r="G42" t="s">
        <v>15</v>
      </c>
      <c r="H42" t="s">
        <v>91</v>
      </c>
      <c r="I42">
        <v>20</v>
      </c>
      <c r="J42">
        <v>10</v>
      </c>
      <c r="K42">
        <v>7</v>
      </c>
      <c r="L42" t="s">
        <v>92</v>
      </c>
      <c r="M42">
        <v>15</v>
      </c>
      <c r="N42">
        <v>1</v>
      </c>
      <c r="O42" t="s">
        <v>15</v>
      </c>
      <c r="P42">
        <v>1</v>
      </c>
      <c r="Q42" t="s">
        <v>90</v>
      </c>
      <c r="R42" t="s">
        <v>98</v>
      </c>
    </row>
    <row r="43" spans="1:18">
      <c r="A43">
        <v>1252</v>
      </c>
      <c r="B43" t="s">
        <v>97</v>
      </c>
      <c r="C43">
        <v>2</v>
      </c>
      <c r="D43">
        <v>10</v>
      </c>
      <c r="E43" t="s">
        <v>94</v>
      </c>
      <c r="F43" t="s">
        <v>90</v>
      </c>
      <c r="G43" t="s">
        <v>15</v>
      </c>
      <c r="H43" t="s">
        <v>91</v>
      </c>
      <c r="I43">
        <v>20</v>
      </c>
      <c r="J43">
        <v>13</v>
      </c>
      <c r="K43">
        <v>7</v>
      </c>
      <c r="L43" t="s">
        <v>92</v>
      </c>
      <c r="M43">
        <v>15</v>
      </c>
      <c r="N43">
        <v>1</v>
      </c>
      <c r="O43" t="s">
        <v>15</v>
      </c>
      <c r="P43">
        <v>1</v>
      </c>
      <c r="Q43" t="s">
        <v>90</v>
      </c>
      <c r="R43" t="s">
        <v>98</v>
      </c>
    </row>
    <row r="44" spans="1:18">
      <c r="A44">
        <v>1253</v>
      </c>
      <c r="B44" t="s">
        <v>97</v>
      </c>
      <c r="C44">
        <v>3</v>
      </c>
      <c r="D44">
        <v>9</v>
      </c>
      <c r="E44" t="s">
        <v>89</v>
      </c>
      <c r="F44" t="s">
        <v>90</v>
      </c>
      <c r="G44" t="s">
        <v>15</v>
      </c>
      <c r="H44" t="s">
        <v>91</v>
      </c>
      <c r="I44">
        <v>20</v>
      </c>
      <c r="J44">
        <v>0</v>
      </c>
      <c r="K44">
        <v>7</v>
      </c>
      <c r="L44" t="s">
        <v>92</v>
      </c>
      <c r="M44">
        <v>15</v>
      </c>
      <c r="N44">
        <v>1</v>
      </c>
      <c r="O44" t="s">
        <v>15</v>
      </c>
      <c r="P44">
        <v>1</v>
      </c>
      <c r="Q44" t="s">
        <v>90</v>
      </c>
      <c r="R44" t="s">
        <v>98</v>
      </c>
    </row>
    <row r="45" spans="1:18">
      <c r="A45">
        <v>1254</v>
      </c>
      <c r="B45" t="s">
        <v>97</v>
      </c>
      <c r="C45">
        <v>4</v>
      </c>
      <c r="D45">
        <v>9</v>
      </c>
      <c r="E45" t="s">
        <v>89</v>
      </c>
      <c r="F45" t="s">
        <v>90</v>
      </c>
      <c r="G45" t="s">
        <v>15</v>
      </c>
      <c r="H45" t="s">
        <v>91</v>
      </c>
      <c r="I45">
        <v>20</v>
      </c>
      <c r="J45">
        <v>0</v>
      </c>
      <c r="K45">
        <v>7</v>
      </c>
      <c r="L45" t="s">
        <v>92</v>
      </c>
      <c r="M45">
        <v>15</v>
      </c>
      <c r="N45">
        <v>1</v>
      </c>
      <c r="O45" t="s">
        <v>15</v>
      </c>
      <c r="P45">
        <v>1</v>
      </c>
      <c r="Q45" t="s">
        <v>90</v>
      </c>
      <c r="R45" t="s">
        <v>98</v>
      </c>
    </row>
    <row r="46" spans="1:18">
      <c r="A46">
        <v>1255</v>
      </c>
      <c r="B46" t="s">
        <v>97</v>
      </c>
      <c r="C46">
        <v>5</v>
      </c>
      <c r="D46">
        <v>9</v>
      </c>
      <c r="E46" t="s">
        <v>89</v>
      </c>
      <c r="F46" t="s">
        <v>90</v>
      </c>
      <c r="G46" t="s">
        <v>15</v>
      </c>
      <c r="H46" t="s">
        <v>91</v>
      </c>
      <c r="I46">
        <v>20</v>
      </c>
      <c r="J46">
        <v>0</v>
      </c>
      <c r="K46">
        <v>7</v>
      </c>
      <c r="L46" t="s">
        <v>92</v>
      </c>
      <c r="M46">
        <v>15</v>
      </c>
      <c r="N46">
        <v>1</v>
      </c>
      <c r="O46" t="s">
        <v>15</v>
      </c>
      <c r="P46">
        <v>1</v>
      </c>
      <c r="Q46" t="s">
        <v>90</v>
      </c>
      <c r="R46" t="s">
        <v>98</v>
      </c>
    </row>
    <row r="47" spans="1:18">
      <c r="A47">
        <v>1256</v>
      </c>
      <c r="B47" t="s">
        <v>97</v>
      </c>
      <c r="C47">
        <v>6</v>
      </c>
      <c r="D47">
        <v>10</v>
      </c>
      <c r="E47" t="s">
        <v>94</v>
      </c>
      <c r="F47" t="s">
        <v>90</v>
      </c>
      <c r="G47" t="s">
        <v>15</v>
      </c>
      <c r="H47" t="s">
        <v>91</v>
      </c>
      <c r="I47">
        <v>20</v>
      </c>
      <c r="J47">
        <v>0</v>
      </c>
      <c r="K47">
        <v>7</v>
      </c>
      <c r="L47" t="s">
        <v>92</v>
      </c>
      <c r="M47">
        <v>15</v>
      </c>
      <c r="N47">
        <v>1</v>
      </c>
      <c r="O47" t="s">
        <v>15</v>
      </c>
      <c r="P47">
        <v>1</v>
      </c>
      <c r="Q47" t="s">
        <v>90</v>
      </c>
      <c r="R47" t="s">
        <v>98</v>
      </c>
    </row>
    <row r="48" spans="1:18">
      <c r="A48">
        <v>1257</v>
      </c>
      <c r="B48" t="s">
        <v>97</v>
      </c>
      <c r="C48">
        <v>7</v>
      </c>
      <c r="D48">
        <v>10</v>
      </c>
      <c r="E48" t="s">
        <v>94</v>
      </c>
      <c r="F48" t="s">
        <v>90</v>
      </c>
      <c r="G48" t="s">
        <v>15</v>
      </c>
      <c r="H48" t="s">
        <v>91</v>
      </c>
      <c r="I48">
        <v>20</v>
      </c>
      <c r="J48">
        <v>0</v>
      </c>
      <c r="K48">
        <v>7</v>
      </c>
      <c r="L48" t="s">
        <v>92</v>
      </c>
      <c r="M48">
        <v>15</v>
      </c>
      <c r="N48">
        <v>1</v>
      </c>
      <c r="O48" t="s">
        <v>15</v>
      </c>
      <c r="P48">
        <v>1</v>
      </c>
      <c r="Q48" t="s">
        <v>90</v>
      </c>
      <c r="R48" t="s">
        <v>98</v>
      </c>
    </row>
    <row r="49" spans="1:18">
      <c r="A49">
        <v>1258</v>
      </c>
      <c r="B49" t="s">
        <v>97</v>
      </c>
      <c r="C49">
        <v>8</v>
      </c>
      <c r="D49">
        <v>10</v>
      </c>
      <c r="E49" t="s">
        <v>94</v>
      </c>
      <c r="F49" t="s">
        <v>90</v>
      </c>
      <c r="G49" t="s">
        <v>15</v>
      </c>
      <c r="H49" t="s">
        <v>91</v>
      </c>
      <c r="I49">
        <v>20</v>
      </c>
      <c r="J49">
        <v>0</v>
      </c>
      <c r="K49">
        <v>7</v>
      </c>
      <c r="L49" t="s">
        <v>92</v>
      </c>
      <c r="M49">
        <v>15</v>
      </c>
      <c r="N49">
        <v>1</v>
      </c>
      <c r="O49" t="s">
        <v>15</v>
      </c>
      <c r="P49">
        <v>1</v>
      </c>
      <c r="Q49" t="s">
        <v>90</v>
      </c>
      <c r="R49" t="s">
        <v>98</v>
      </c>
    </row>
    <row r="50" spans="1:18">
      <c r="A50">
        <v>1259</v>
      </c>
      <c r="B50" t="s">
        <v>97</v>
      </c>
      <c r="C50">
        <v>9</v>
      </c>
      <c r="D50">
        <v>10</v>
      </c>
      <c r="E50" t="s">
        <v>94</v>
      </c>
      <c r="F50" t="s">
        <v>90</v>
      </c>
      <c r="G50" t="s">
        <v>15</v>
      </c>
      <c r="H50" t="s">
        <v>91</v>
      </c>
      <c r="I50">
        <v>20</v>
      </c>
      <c r="J50">
        <v>0</v>
      </c>
      <c r="K50">
        <v>7</v>
      </c>
      <c r="L50" t="s">
        <v>92</v>
      </c>
      <c r="M50">
        <v>15</v>
      </c>
      <c r="N50">
        <v>1</v>
      </c>
      <c r="O50" t="s">
        <v>15</v>
      </c>
      <c r="P50">
        <v>1</v>
      </c>
      <c r="Q50" t="s">
        <v>90</v>
      </c>
      <c r="R50" t="s">
        <v>98</v>
      </c>
    </row>
    <row r="51" spans="1:18">
      <c r="A51">
        <v>1260</v>
      </c>
      <c r="B51" t="s">
        <v>97</v>
      </c>
      <c r="C51">
        <v>10</v>
      </c>
      <c r="D51">
        <v>9</v>
      </c>
      <c r="E51" t="s">
        <v>89</v>
      </c>
      <c r="F51" t="s">
        <v>90</v>
      </c>
      <c r="G51" t="s">
        <v>15</v>
      </c>
      <c r="H51" t="s">
        <v>91</v>
      </c>
      <c r="I51">
        <v>20</v>
      </c>
      <c r="J51">
        <v>0</v>
      </c>
      <c r="K51">
        <v>7</v>
      </c>
      <c r="L51" t="s">
        <v>92</v>
      </c>
      <c r="M51">
        <v>15</v>
      </c>
      <c r="N51">
        <v>1</v>
      </c>
      <c r="O51" t="s">
        <v>15</v>
      </c>
      <c r="P51">
        <v>1</v>
      </c>
      <c r="Q51" t="s">
        <v>90</v>
      </c>
      <c r="R51" t="s">
        <v>98</v>
      </c>
    </row>
    <row r="52" spans="1:18">
      <c r="A52">
        <v>1261</v>
      </c>
      <c r="B52" t="s">
        <v>97</v>
      </c>
      <c r="C52">
        <v>11</v>
      </c>
      <c r="D52">
        <v>11</v>
      </c>
      <c r="E52" t="s">
        <v>95</v>
      </c>
      <c r="F52" t="s">
        <v>90</v>
      </c>
      <c r="G52" t="s">
        <v>15</v>
      </c>
      <c r="H52" t="s">
        <v>91</v>
      </c>
      <c r="I52">
        <v>20</v>
      </c>
      <c r="J52">
        <v>12</v>
      </c>
      <c r="K52">
        <v>7</v>
      </c>
      <c r="L52" t="s">
        <v>92</v>
      </c>
      <c r="M52">
        <v>15</v>
      </c>
      <c r="N52">
        <v>1</v>
      </c>
      <c r="O52" t="s">
        <v>15</v>
      </c>
      <c r="P52">
        <v>1</v>
      </c>
      <c r="Q52" t="s">
        <v>90</v>
      </c>
      <c r="R52" t="s">
        <v>98</v>
      </c>
    </row>
    <row r="53" spans="1:18">
      <c r="A53">
        <v>1262</v>
      </c>
      <c r="B53" t="s">
        <v>97</v>
      </c>
      <c r="C53">
        <v>12</v>
      </c>
      <c r="D53">
        <v>11</v>
      </c>
      <c r="E53" t="s">
        <v>95</v>
      </c>
      <c r="F53" t="s">
        <v>90</v>
      </c>
      <c r="G53" t="s">
        <v>15</v>
      </c>
      <c r="H53" t="s">
        <v>91</v>
      </c>
      <c r="I53">
        <v>20</v>
      </c>
      <c r="J53">
        <v>0</v>
      </c>
      <c r="K53">
        <v>7</v>
      </c>
      <c r="L53" t="s">
        <v>92</v>
      </c>
      <c r="M53">
        <v>15</v>
      </c>
      <c r="N53">
        <v>1</v>
      </c>
      <c r="O53" t="s">
        <v>15</v>
      </c>
      <c r="P53">
        <v>1</v>
      </c>
      <c r="Q53" t="s">
        <v>90</v>
      </c>
      <c r="R53" t="s">
        <v>98</v>
      </c>
    </row>
    <row r="54" spans="1:18">
      <c r="A54">
        <v>1263</v>
      </c>
      <c r="B54" t="s">
        <v>97</v>
      </c>
      <c r="C54">
        <v>13</v>
      </c>
      <c r="D54">
        <v>11</v>
      </c>
      <c r="E54" t="s">
        <v>95</v>
      </c>
      <c r="F54" t="s">
        <v>90</v>
      </c>
      <c r="G54" t="s">
        <v>15</v>
      </c>
      <c r="H54" t="s">
        <v>91</v>
      </c>
      <c r="I54">
        <v>20</v>
      </c>
      <c r="J54">
        <v>0</v>
      </c>
      <c r="K54">
        <v>7</v>
      </c>
      <c r="L54" t="s">
        <v>92</v>
      </c>
      <c r="M54">
        <v>15</v>
      </c>
      <c r="N54">
        <v>1</v>
      </c>
      <c r="O54" t="s">
        <v>15</v>
      </c>
      <c r="P54">
        <v>1</v>
      </c>
      <c r="Q54" t="s">
        <v>90</v>
      </c>
      <c r="R54" t="s">
        <v>98</v>
      </c>
    </row>
    <row r="55" spans="1:18">
      <c r="A55">
        <v>1264</v>
      </c>
      <c r="B55" t="s">
        <v>97</v>
      </c>
      <c r="C55">
        <v>14</v>
      </c>
      <c r="D55">
        <v>11</v>
      </c>
      <c r="E55" t="s">
        <v>95</v>
      </c>
      <c r="F55" t="s">
        <v>90</v>
      </c>
      <c r="G55" t="s">
        <v>15</v>
      </c>
      <c r="H55" t="s">
        <v>91</v>
      </c>
      <c r="I55">
        <v>20</v>
      </c>
      <c r="J55">
        <v>0</v>
      </c>
      <c r="K55">
        <v>7</v>
      </c>
      <c r="L55" t="s">
        <v>92</v>
      </c>
      <c r="M55">
        <v>15</v>
      </c>
      <c r="N55">
        <v>1</v>
      </c>
      <c r="O55" t="s">
        <v>15</v>
      </c>
      <c r="P55">
        <v>1</v>
      </c>
      <c r="Q55" t="s">
        <v>90</v>
      </c>
      <c r="R55" t="s">
        <v>98</v>
      </c>
    </row>
    <row r="56" spans="1:18">
      <c r="A56">
        <v>1265</v>
      </c>
      <c r="B56" t="s">
        <v>97</v>
      </c>
      <c r="C56">
        <v>15</v>
      </c>
      <c r="D56">
        <v>11</v>
      </c>
      <c r="E56" t="s">
        <v>95</v>
      </c>
      <c r="F56" t="s">
        <v>90</v>
      </c>
      <c r="G56" t="s">
        <v>15</v>
      </c>
      <c r="H56" t="s">
        <v>91</v>
      </c>
      <c r="I56">
        <v>20</v>
      </c>
      <c r="J56">
        <v>0</v>
      </c>
      <c r="K56">
        <v>7</v>
      </c>
      <c r="L56" t="s">
        <v>92</v>
      </c>
      <c r="M56">
        <v>15</v>
      </c>
      <c r="N56">
        <v>1</v>
      </c>
      <c r="O56" t="s">
        <v>15</v>
      </c>
      <c r="P56">
        <v>1</v>
      </c>
      <c r="Q56" t="s">
        <v>90</v>
      </c>
      <c r="R56" t="s">
        <v>98</v>
      </c>
    </row>
    <row r="57" spans="1:18">
      <c r="A57">
        <v>1266</v>
      </c>
      <c r="B57" t="s">
        <v>97</v>
      </c>
      <c r="C57">
        <v>16</v>
      </c>
      <c r="D57">
        <v>11</v>
      </c>
      <c r="E57" t="s">
        <v>95</v>
      </c>
      <c r="F57" t="s">
        <v>90</v>
      </c>
      <c r="G57" t="s">
        <v>15</v>
      </c>
      <c r="H57" t="s">
        <v>91</v>
      </c>
      <c r="I57">
        <v>20</v>
      </c>
      <c r="J57">
        <v>0</v>
      </c>
      <c r="K57">
        <v>7</v>
      </c>
      <c r="L57" t="s">
        <v>92</v>
      </c>
      <c r="M57">
        <v>15</v>
      </c>
      <c r="N57">
        <v>1</v>
      </c>
      <c r="O57" t="s">
        <v>15</v>
      </c>
      <c r="P57">
        <v>1</v>
      </c>
      <c r="Q57" t="s">
        <v>90</v>
      </c>
      <c r="R57" t="s">
        <v>98</v>
      </c>
    </row>
    <row r="58" spans="1:18">
      <c r="A58">
        <v>1267</v>
      </c>
      <c r="B58" t="s">
        <v>97</v>
      </c>
      <c r="C58">
        <v>17</v>
      </c>
      <c r="D58">
        <v>11</v>
      </c>
      <c r="E58" t="s">
        <v>95</v>
      </c>
      <c r="F58" t="s">
        <v>90</v>
      </c>
      <c r="G58" t="s">
        <v>15</v>
      </c>
      <c r="H58" t="s">
        <v>91</v>
      </c>
      <c r="I58">
        <v>20</v>
      </c>
      <c r="J58">
        <v>0</v>
      </c>
      <c r="K58">
        <v>7</v>
      </c>
      <c r="L58" t="s">
        <v>92</v>
      </c>
      <c r="M58">
        <v>15</v>
      </c>
      <c r="N58">
        <v>1</v>
      </c>
      <c r="O58" t="s">
        <v>15</v>
      </c>
      <c r="P58">
        <v>1</v>
      </c>
      <c r="Q58" t="s">
        <v>90</v>
      </c>
      <c r="R58" t="s">
        <v>98</v>
      </c>
    </row>
    <row r="59" spans="1:18">
      <c r="A59">
        <v>1268</v>
      </c>
      <c r="B59" t="s">
        <v>97</v>
      </c>
      <c r="C59">
        <v>18</v>
      </c>
      <c r="D59">
        <v>11</v>
      </c>
      <c r="E59" t="s">
        <v>95</v>
      </c>
      <c r="F59" t="s">
        <v>90</v>
      </c>
      <c r="G59" t="s">
        <v>15</v>
      </c>
      <c r="H59" t="s">
        <v>91</v>
      </c>
      <c r="I59">
        <v>20</v>
      </c>
      <c r="J59">
        <v>0</v>
      </c>
      <c r="K59">
        <v>7</v>
      </c>
      <c r="L59" t="s">
        <v>92</v>
      </c>
      <c r="M59">
        <v>15</v>
      </c>
      <c r="N59">
        <v>1</v>
      </c>
      <c r="O59" t="s">
        <v>15</v>
      </c>
      <c r="P59">
        <v>1</v>
      </c>
      <c r="Q59" t="s">
        <v>90</v>
      </c>
      <c r="R59" t="s">
        <v>98</v>
      </c>
    </row>
    <row r="60" spans="1:18">
      <c r="A60">
        <v>1269</v>
      </c>
      <c r="B60" t="s">
        <v>97</v>
      </c>
      <c r="C60">
        <v>19</v>
      </c>
      <c r="D60">
        <v>11</v>
      </c>
      <c r="E60" t="s">
        <v>95</v>
      </c>
      <c r="F60" t="s">
        <v>90</v>
      </c>
      <c r="G60" t="s">
        <v>15</v>
      </c>
      <c r="H60" t="s">
        <v>91</v>
      </c>
      <c r="I60">
        <v>20</v>
      </c>
      <c r="J60">
        <v>0</v>
      </c>
      <c r="K60">
        <v>7</v>
      </c>
      <c r="L60" t="s">
        <v>92</v>
      </c>
      <c r="M60">
        <v>15</v>
      </c>
      <c r="N60">
        <v>1</v>
      </c>
      <c r="O60" t="s">
        <v>15</v>
      </c>
      <c r="P60">
        <v>1</v>
      </c>
      <c r="Q60" t="s">
        <v>90</v>
      </c>
      <c r="R60" t="s">
        <v>98</v>
      </c>
    </row>
    <row r="61" spans="1:18">
      <c r="A61">
        <v>1270</v>
      </c>
      <c r="B61" t="s">
        <v>97</v>
      </c>
      <c r="C61">
        <v>20</v>
      </c>
      <c r="D61">
        <v>11</v>
      </c>
      <c r="E61" t="s">
        <v>95</v>
      </c>
      <c r="F61" t="s">
        <v>90</v>
      </c>
      <c r="G61" t="s">
        <v>15</v>
      </c>
      <c r="H61" t="s">
        <v>91</v>
      </c>
      <c r="I61">
        <v>20</v>
      </c>
      <c r="J61">
        <v>0</v>
      </c>
      <c r="K61">
        <v>7</v>
      </c>
      <c r="L61" t="s">
        <v>92</v>
      </c>
      <c r="M61">
        <v>15</v>
      </c>
      <c r="N61">
        <v>1</v>
      </c>
      <c r="O61" t="s">
        <v>15</v>
      </c>
      <c r="P61">
        <v>1</v>
      </c>
      <c r="Q61" t="s">
        <v>90</v>
      </c>
      <c r="R61" t="s">
        <v>98</v>
      </c>
    </row>
    <row r="62" spans="1:18">
      <c r="A62">
        <v>1271</v>
      </c>
      <c r="B62" t="s">
        <v>97</v>
      </c>
      <c r="C62">
        <v>21</v>
      </c>
      <c r="D62">
        <v>9</v>
      </c>
      <c r="E62" t="s">
        <v>89</v>
      </c>
      <c r="F62" t="s">
        <v>90</v>
      </c>
      <c r="G62" t="s">
        <v>15</v>
      </c>
      <c r="H62" t="s">
        <v>91</v>
      </c>
      <c r="I62">
        <v>20</v>
      </c>
      <c r="J62">
        <v>0</v>
      </c>
      <c r="K62">
        <v>7</v>
      </c>
      <c r="L62" t="s">
        <v>92</v>
      </c>
      <c r="M62">
        <v>15</v>
      </c>
      <c r="N62">
        <v>1</v>
      </c>
      <c r="O62" t="s">
        <v>15</v>
      </c>
      <c r="P62">
        <v>1</v>
      </c>
      <c r="Q62" t="s">
        <v>90</v>
      </c>
      <c r="R62" t="s">
        <v>98</v>
      </c>
    </row>
    <row r="63" spans="1:18">
      <c r="A63">
        <v>1272</v>
      </c>
      <c r="B63" t="s">
        <v>97</v>
      </c>
      <c r="C63">
        <v>22</v>
      </c>
      <c r="D63">
        <v>10</v>
      </c>
      <c r="E63" t="s">
        <v>94</v>
      </c>
      <c r="F63" t="s">
        <v>90</v>
      </c>
      <c r="G63" t="s">
        <v>15</v>
      </c>
      <c r="H63" t="s">
        <v>91</v>
      </c>
      <c r="I63">
        <v>20</v>
      </c>
      <c r="J63">
        <v>0</v>
      </c>
      <c r="K63">
        <v>7</v>
      </c>
      <c r="L63" t="s">
        <v>92</v>
      </c>
      <c r="M63">
        <v>15</v>
      </c>
      <c r="N63">
        <v>1</v>
      </c>
      <c r="O63" t="s">
        <v>15</v>
      </c>
      <c r="P63">
        <v>1</v>
      </c>
      <c r="Q63" t="s">
        <v>90</v>
      </c>
      <c r="R63" t="s">
        <v>98</v>
      </c>
    </row>
    <row r="64" spans="1:18">
      <c r="A64">
        <v>1273</v>
      </c>
      <c r="B64" t="s">
        <v>97</v>
      </c>
      <c r="C64">
        <v>23</v>
      </c>
      <c r="D64">
        <v>9</v>
      </c>
      <c r="E64" t="s">
        <v>89</v>
      </c>
      <c r="F64" t="s">
        <v>90</v>
      </c>
      <c r="G64" t="s">
        <v>15</v>
      </c>
      <c r="H64" t="s">
        <v>91</v>
      </c>
      <c r="I64">
        <v>20</v>
      </c>
      <c r="J64">
        <v>0</v>
      </c>
      <c r="K64">
        <v>7</v>
      </c>
      <c r="L64" t="s">
        <v>92</v>
      </c>
      <c r="M64">
        <v>15</v>
      </c>
      <c r="N64">
        <v>1</v>
      </c>
      <c r="O64" t="s">
        <v>15</v>
      </c>
      <c r="P64">
        <v>1</v>
      </c>
      <c r="Q64" t="s">
        <v>90</v>
      </c>
      <c r="R64" t="s">
        <v>98</v>
      </c>
    </row>
    <row r="65" spans="1:18">
      <c r="A65">
        <v>1274</v>
      </c>
      <c r="B65" t="s">
        <v>97</v>
      </c>
      <c r="C65">
        <v>24</v>
      </c>
      <c r="D65">
        <v>10</v>
      </c>
      <c r="E65" t="s">
        <v>94</v>
      </c>
      <c r="F65" t="s">
        <v>90</v>
      </c>
      <c r="G65" t="s">
        <v>15</v>
      </c>
      <c r="H65" t="s">
        <v>91</v>
      </c>
      <c r="I65">
        <v>20</v>
      </c>
      <c r="J65">
        <v>0</v>
      </c>
      <c r="K65">
        <v>7</v>
      </c>
      <c r="L65" t="s">
        <v>92</v>
      </c>
      <c r="M65">
        <v>15</v>
      </c>
      <c r="N65">
        <v>1</v>
      </c>
      <c r="O65" t="s">
        <v>15</v>
      </c>
      <c r="P65">
        <v>1</v>
      </c>
      <c r="Q65" t="s">
        <v>90</v>
      </c>
      <c r="R65" t="s">
        <v>98</v>
      </c>
    </row>
    <row r="66" spans="1:18">
      <c r="A66">
        <v>1275</v>
      </c>
      <c r="B66" t="s">
        <v>97</v>
      </c>
      <c r="C66">
        <v>25</v>
      </c>
      <c r="D66">
        <v>9</v>
      </c>
      <c r="E66" t="s">
        <v>89</v>
      </c>
      <c r="F66" t="s">
        <v>90</v>
      </c>
      <c r="G66" t="s">
        <v>15</v>
      </c>
      <c r="H66" t="s">
        <v>91</v>
      </c>
      <c r="I66">
        <v>20</v>
      </c>
      <c r="J66">
        <v>0</v>
      </c>
      <c r="K66">
        <v>7</v>
      </c>
      <c r="L66" t="s">
        <v>92</v>
      </c>
      <c r="M66">
        <v>15</v>
      </c>
      <c r="N66">
        <v>1</v>
      </c>
      <c r="O66" t="s">
        <v>15</v>
      </c>
      <c r="P66">
        <v>1</v>
      </c>
      <c r="Q66" t="s">
        <v>90</v>
      </c>
      <c r="R66" t="s">
        <v>98</v>
      </c>
    </row>
    <row r="67" spans="1:18">
      <c r="A67">
        <v>1276</v>
      </c>
      <c r="B67" t="s">
        <v>97</v>
      </c>
      <c r="C67">
        <v>26</v>
      </c>
      <c r="D67">
        <v>10</v>
      </c>
      <c r="E67" t="s">
        <v>94</v>
      </c>
      <c r="F67" t="s">
        <v>90</v>
      </c>
      <c r="G67" t="s">
        <v>15</v>
      </c>
      <c r="H67" t="s">
        <v>91</v>
      </c>
      <c r="I67">
        <v>20</v>
      </c>
      <c r="J67">
        <v>0</v>
      </c>
      <c r="K67">
        <v>7</v>
      </c>
      <c r="L67" t="s">
        <v>92</v>
      </c>
      <c r="M67">
        <v>15</v>
      </c>
      <c r="N67">
        <v>1</v>
      </c>
      <c r="O67" t="s">
        <v>15</v>
      </c>
      <c r="P67">
        <v>1</v>
      </c>
      <c r="Q67" t="s">
        <v>90</v>
      </c>
      <c r="R67" t="s">
        <v>98</v>
      </c>
    </row>
    <row r="68" spans="1:18">
      <c r="A68">
        <v>1277</v>
      </c>
      <c r="B68" t="s">
        <v>97</v>
      </c>
      <c r="C68">
        <v>27</v>
      </c>
      <c r="D68">
        <v>9</v>
      </c>
      <c r="E68" t="s">
        <v>89</v>
      </c>
      <c r="F68" t="s">
        <v>90</v>
      </c>
      <c r="G68" t="s">
        <v>15</v>
      </c>
      <c r="H68" t="s">
        <v>91</v>
      </c>
      <c r="I68">
        <v>20</v>
      </c>
      <c r="J68">
        <v>0</v>
      </c>
      <c r="K68">
        <v>7</v>
      </c>
      <c r="L68" t="s">
        <v>92</v>
      </c>
      <c r="M68">
        <v>15</v>
      </c>
      <c r="N68">
        <v>1</v>
      </c>
      <c r="O68" t="s">
        <v>15</v>
      </c>
      <c r="P68">
        <v>1</v>
      </c>
      <c r="Q68" t="s">
        <v>90</v>
      </c>
      <c r="R68" t="s">
        <v>98</v>
      </c>
    </row>
    <row r="69" spans="1:18">
      <c r="A69">
        <v>1278</v>
      </c>
      <c r="B69" t="s">
        <v>97</v>
      </c>
      <c r="C69">
        <v>28</v>
      </c>
      <c r="D69">
        <v>10</v>
      </c>
      <c r="E69" t="s">
        <v>94</v>
      </c>
      <c r="F69" t="s">
        <v>90</v>
      </c>
      <c r="G69" t="s">
        <v>15</v>
      </c>
      <c r="H69" t="s">
        <v>91</v>
      </c>
      <c r="I69">
        <v>20</v>
      </c>
      <c r="J69">
        <v>0</v>
      </c>
      <c r="K69">
        <v>7</v>
      </c>
      <c r="L69" t="s">
        <v>92</v>
      </c>
      <c r="M69">
        <v>15</v>
      </c>
      <c r="N69">
        <v>1</v>
      </c>
      <c r="O69" t="s">
        <v>15</v>
      </c>
      <c r="P69">
        <v>1</v>
      </c>
      <c r="Q69" t="s">
        <v>90</v>
      </c>
      <c r="R69" t="s">
        <v>98</v>
      </c>
    </row>
    <row r="70" spans="1:18">
      <c r="A70">
        <v>1279</v>
      </c>
      <c r="B70" t="s">
        <v>97</v>
      </c>
      <c r="C70">
        <v>29</v>
      </c>
      <c r="D70">
        <v>9</v>
      </c>
      <c r="E70" t="s">
        <v>89</v>
      </c>
      <c r="F70" t="s">
        <v>90</v>
      </c>
      <c r="G70" t="s">
        <v>15</v>
      </c>
      <c r="H70" t="s">
        <v>91</v>
      </c>
      <c r="I70">
        <v>20</v>
      </c>
      <c r="J70">
        <v>0</v>
      </c>
      <c r="K70">
        <v>7</v>
      </c>
      <c r="L70" t="s">
        <v>92</v>
      </c>
      <c r="M70">
        <v>15</v>
      </c>
      <c r="N70">
        <v>1</v>
      </c>
      <c r="O70" t="s">
        <v>15</v>
      </c>
      <c r="P70">
        <v>1</v>
      </c>
      <c r="Q70" t="s">
        <v>90</v>
      </c>
      <c r="R70" t="s">
        <v>98</v>
      </c>
    </row>
    <row r="71" spans="1:18">
      <c r="A71">
        <v>1280</v>
      </c>
      <c r="B71" t="s">
        <v>97</v>
      </c>
      <c r="C71">
        <v>30</v>
      </c>
      <c r="D71">
        <v>10</v>
      </c>
      <c r="E71" t="s">
        <v>94</v>
      </c>
      <c r="F71" t="s">
        <v>90</v>
      </c>
      <c r="G71" t="s">
        <v>15</v>
      </c>
      <c r="H71" t="s">
        <v>91</v>
      </c>
      <c r="I71">
        <v>20</v>
      </c>
      <c r="J71">
        <v>0</v>
      </c>
      <c r="K71">
        <v>7</v>
      </c>
      <c r="L71" t="s">
        <v>92</v>
      </c>
      <c r="M71">
        <v>15</v>
      </c>
      <c r="N71">
        <v>1</v>
      </c>
      <c r="O71" t="s">
        <v>15</v>
      </c>
      <c r="P71">
        <v>1</v>
      </c>
      <c r="Q71" t="s">
        <v>90</v>
      </c>
      <c r="R71" t="s">
        <v>98</v>
      </c>
    </row>
    <row r="72" spans="1:18">
      <c r="A72">
        <v>1281</v>
      </c>
      <c r="B72" t="s">
        <v>97</v>
      </c>
      <c r="C72">
        <v>31</v>
      </c>
      <c r="D72">
        <v>12</v>
      </c>
      <c r="E72" t="s">
        <v>96</v>
      </c>
      <c r="F72" t="s">
        <v>90</v>
      </c>
      <c r="G72" t="s">
        <v>15</v>
      </c>
      <c r="H72" t="s">
        <v>91</v>
      </c>
      <c r="I72">
        <v>20</v>
      </c>
      <c r="J72">
        <v>0</v>
      </c>
      <c r="K72">
        <v>7</v>
      </c>
      <c r="L72" t="s">
        <v>92</v>
      </c>
      <c r="M72">
        <v>15</v>
      </c>
      <c r="N72">
        <v>1</v>
      </c>
      <c r="O72" t="s">
        <v>15</v>
      </c>
      <c r="P72">
        <v>1</v>
      </c>
      <c r="Q72" t="s">
        <v>90</v>
      </c>
      <c r="R72" t="s">
        <v>98</v>
      </c>
    </row>
    <row r="73" spans="1:18">
      <c r="A73">
        <v>1282</v>
      </c>
      <c r="B73" t="s">
        <v>97</v>
      </c>
      <c r="C73">
        <v>32</v>
      </c>
      <c r="D73">
        <v>12</v>
      </c>
      <c r="E73" t="s">
        <v>96</v>
      </c>
      <c r="F73" t="s">
        <v>90</v>
      </c>
      <c r="G73" t="s">
        <v>15</v>
      </c>
      <c r="H73" t="s">
        <v>91</v>
      </c>
      <c r="I73">
        <v>20</v>
      </c>
      <c r="J73">
        <v>0</v>
      </c>
      <c r="K73">
        <v>7</v>
      </c>
      <c r="L73" t="s">
        <v>92</v>
      </c>
      <c r="M73">
        <v>15</v>
      </c>
      <c r="N73">
        <v>1</v>
      </c>
      <c r="O73" t="s">
        <v>15</v>
      </c>
      <c r="P73">
        <v>1</v>
      </c>
      <c r="Q73" t="s">
        <v>90</v>
      </c>
      <c r="R73" t="s">
        <v>98</v>
      </c>
    </row>
    <row r="74" spans="1:18">
      <c r="A74">
        <v>1283</v>
      </c>
      <c r="B74" t="s">
        <v>97</v>
      </c>
      <c r="C74">
        <v>33</v>
      </c>
      <c r="D74">
        <v>12</v>
      </c>
      <c r="E74" t="s">
        <v>96</v>
      </c>
      <c r="F74" t="s">
        <v>90</v>
      </c>
      <c r="G74" t="s">
        <v>15</v>
      </c>
      <c r="H74" t="s">
        <v>91</v>
      </c>
      <c r="I74">
        <v>20</v>
      </c>
      <c r="J74">
        <v>0</v>
      </c>
      <c r="K74">
        <v>7</v>
      </c>
      <c r="L74" t="s">
        <v>92</v>
      </c>
      <c r="M74">
        <v>15</v>
      </c>
      <c r="N74">
        <v>1</v>
      </c>
      <c r="O74" t="s">
        <v>15</v>
      </c>
      <c r="P74">
        <v>1</v>
      </c>
      <c r="Q74" t="s">
        <v>90</v>
      </c>
      <c r="R74" t="s">
        <v>98</v>
      </c>
    </row>
    <row r="75" spans="1:18">
      <c r="A75">
        <v>1284</v>
      </c>
      <c r="B75" t="s">
        <v>97</v>
      </c>
      <c r="C75">
        <v>34</v>
      </c>
      <c r="D75">
        <v>12</v>
      </c>
      <c r="E75" t="s">
        <v>96</v>
      </c>
      <c r="F75" t="s">
        <v>90</v>
      </c>
      <c r="G75" t="s">
        <v>15</v>
      </c>
      <c r="H75" t="s">
        <v>91</v>
      </c>
      <c r="I75">
        <v>20</v>
      </c>
      <c r="J75">
        <v>0</v>
      </c>
      <c r="K75">
        <v>7</v>
      </c>
      <c r="L75" t="s">
        <v>92</v>
      </c>
      <c r="M75">
        <v>15</v>
      </c>
      <c r="N75">
        <v>1</v>
      </c>
      <c r="O75" t="s">
        <v>15</v>
      </c>
      <c r="P75">
        <v>1</v>
      </c>
      <c r="Q75" t="s">
        <v>90</v>
      </c>
      <c r="R75" t="s">
        <v>98</v>
      </c>
    </row>
    <row r="76" spans="1:18">
      <c r="A76">
        <v>1285</v>
      </c>
      <c r="B76" t="s">
        <v>97</v>
      </c>
      <c r="C76">
        <v>35</v>
      </c>
      <c r="D76">
        <v>12</v>
      </c>
      <c r="E76" t="s">
        <v>96</v>
      </c>
      <c r="F76" t="s">
        <v>90</v>
      </c>
      <c r="G76" t="s">
        <v>15</v>
      </c>
      <c r="H76" t="s">
        <v>91</v>
      </c>
      <c r="I76">
        <v>20</v>
      </c>
      <c r="J76">
        <v>0</v>
      </c>
      <c r="K76">
        <v>7</v>
      </c>
      <c r="L76" t="s">
        <v>92</v>
      </c>
      <c r="M76">
        <v>15</v>
      </c>
      <c r="N76">
        <v>1</v>
      </c>
      <c r="O76" t="s">
        <v>15</v>
      </c>
      <c r="P76">
        <v>1</v>
      </c>
      <c r="Q76" t="s">
        <v>90</v>
      </c>
      <c r="R76" t="s">
        <v>98</v>
      </c>
    </row>
    <row r="77" spans="1:18">
      <c r="A77">
        <v>1286</v>
      </c>
      <c r="B77" t="s">
        <v>97</v>
      </c>
      <c r="C77">
        <v>36</v>
      </c>
      <c r="D77">
        <v>12</v>
      </c>
      <c r="E77" t="s">
        <v>96</v>
      </c>
      <c r="F77" t="s">
        <v>90</v>
      </c>
      <c r="G77" t="s">
        <v>15</v>
      </c>
      <c r="H77" t="s">
        <v>91</v>
      </c>
      <c r="I77">
        <v>20</v>
      </c>
      <c r="J77">
        <v>0</v>
      </c>
      <c r="K77">
        <v>7</v>
      </c>
      <c r="L77" t="s">
        <v>92</v>
      </c>
      <c r="M77">
        <v>15</v>
      </c>
      <c r="N77">
        <v>1</v>
      </c>
      <c r="O77" t="s">
        <v>15</v>
      </c>
      <c r="P77">
        <v>1</v>
      </c>
      <c r="Q77" t="s">
        <v>90</v>
      </c>
      <c r="R77" t="s">
        <v>98</v>
      </c>
    </row>
    <row r="78" spans="1:18">
      <c r="A78">
        <v>1287</v>
      </c>
      <c r="B78" t="s">
        <v>97</v>
      </c>
      <c r="C78">
        <v>37</v>
      </c>
      <c r="D78">
        <v>12</v>
      </c>
      <c r="E78" t="s">
        <v>96</v>
      </c>
      <c r="F78" t="s">
        <v>90</v>
      </c>
      <c r="G78" t="s">
        <v>15</v>
      </c>
      <c r="H78" t="s">
        <v>91</v>
      </c>
      <c r="I78">
        <v>20</v>
      </c>
      <c r="J78">
        <v>0</v>
      </c>
      <c r="K78">
        <v>7</v>
      </c>
      <c r="L78" t="s">
        <v>92</v>
      </c>
      <c r="M78">
        <v>15</v>
      </c>
      <c r="N78">
        <v>1</v>
      </c>
      <c r="O78" t="s">
        <v>15</v>
      </c>
      <c r="P78">
        <v>1</v>
      </c>
      <c r="Q78" t="s">
        <v>90</v>
      </c>
      <c r="R78" t="s">
        <v>98</v>
      </c>
    </row>
    <row r="79" spans="1:18">
      <c r="A79">
        <v>1288</v>
      </c>
      <c r="B79" t="s">
        <v>97</v>
      </c>
      <c r="C79">
        <v>38</v>
      </c>
      <c r="D79">
        <v>12</v>
      </c>
      <c r="E79" t="s">
        <v>96</v>
      </c>
      <c r="F79" t="s">
        <v>90</v>
      </c>
      <c r="G79" t="s">
        <v>15</v>
      </c>
      <c r="H79" t="s">
        <v>91</v>
      </c>
      <c r="I79">
        <v>20</v>
      </c>
      <c r="J79">
        <v>0</v>
      </c>
      <c r="K79">
        <v>7</v>
      </c>
      <c r="L79" t="s">
        <v>92</v>
      </c>
      <c r="M79">
        <v>15</v>
      </c>
      <c r="N79">
        <v>1</v>
      </c>
      <c r="O79" t="s">
        <v>15</v>
      </c>
      <c r="P79">
        <v>1</v>
      </c>
      <c r="Q79" t="s">
        <v>90</v>
      </c>
      <c r="R79" t="s">
        <v>98</v>
      </c>
    </row>
    <row r="80" spans="1:18">
      <c r="A80">
        <v>1289</v>
      </c>
      <c r="B80" t="s">
        <v>97</v>
      </c>
      <c r="C80">
        <v>39</v>
      </c>
      <c r="D80">
        <v>12</v>
      </c>
      <c r="E80" t="s">
        <v>96</v>
      </c>
      <c r="F80" t="s">
        <v>90</v>
      </c>
      <c r="G80" t="s">
        <v>15</v>
      </c>
      <c r="H80" t="s">
        <v>91</v>
      </c>
      <c r="I80">
        <v>20</v>
      </c>
      <c r="J80">
        <v>0</v>
      </c>
      <c r="K80">
        <v>7</v>
      </c>
      <c r="L80" t="s">
        <v>92</v>
      </c>
      <c r="M80">
        <v>15</v>
      </c>
      <c r="N80">
        <v>1</v>
      </c>
      <c r="O80" t="s">
        <v>15</v>
      </c>
      <c r="P80">
        <v>1</v>
      </c>
      <c r="Q80" t="s">
        <v>90</v>
      </c>
      <c r="R80" t="s">
        <v>98</v>
      </c>
    </row>
    <row r="81" spans="1:18">
      <c r="A81">
        <v>1290</v>
      </c>
      <c r="B81" t="s">
        <v>97</v>
      </c>
      <c r="C81">
        <v>40</v>
      </c>
      <c r="D81">
        <v>12</v>
      </c>
      <c r="E81" t="s">
        <v>96</v>
      </c>
      <c r="F81" t="s">
        <v>90</v>
      </c>
      <c r="G81" t="s">
        <v>15</v>
      </c>
      <c r="H81" t="s">
        <v>91</v>
      </c>
      <c r="I81">
        <v>20</v>
      </c>
      <c r="J81">
        <v>0</v>
      </c>
      <c r="K81">
        <v>7</v>
      </c>
      <c r="L81" t="s">
        <v>92</v>
      </c>
      <c r="M81">
        <v>15</v>
      </c>
      <c r="N81">
        <v>1</v>
      </c>
      <c r="O81" t="s">
        <v>15</v>
      </c>
      <c r="P81">
        <v>1</v>
      </c>
      <c r="Q81" t="s">
        <v>90</v>
      </c>
      <c r="R81" t="s">
        <v>98</v>
      </c>
    </row>
    <row r="82" spans="1:18">
      <c r="A82">
        <v>1291</v>
      </c>
      <c r="B82" t="s">
        <v>99</v>
      </c>
      <c r="C82">
        <v>1</v>
      </c>
      <c r="D82">
        <v>9</v>
      </c>
      <c r="E82" t="s">
        <v>89</v>
      </c>
      <c r="F82" t="s">
        <v>90</v>
      </c>
      <c r="G82" t="s">
        <v>15</v>
      </c>
      <c r="H82" t="s">
        <v>91</v>
      </c>
      <c r="I82">
        <v>20</v>
      </c>
      <c r="J82">
        <v>18</v>
      </c>
      <c r="K82">
        <v>7</v>
      </c>
      <c r="L82" t="s">
        <v>92</v>
      </c>
      <c r="M82">
        <v>17</v>
      </c>
      <c r="N82">
        <v>1</v>
      </c>
      <c r="O82" t="s">
        <v>15</v>
      </c>
      <c r="P82">
        <v>1</v>
      </c>
      <c r="Q82" t="s">
        <v>90</v>
      </c>
      <c r="R82" t="s">
        <v>100</v>
      </c>
    </row>
    <row r="83" spans="1:18">
      <c r="A83">
        <v>1292</v>
      </c>
      <c r="B83" t="s">
        <v>99</v>
      </c>
      <c r="C83">
        <v>2</v>
      </c>
      <c r="D83">
        <v>10</v>
      </c>
      <c r="E83" t="s">
        <v>94</v>
      </c>
      <c r="F83" t="s">
        <v>90</v>
      </c>
      <c r="G83" t="s">
        <v>15</v>
      </c>
      <c r="H83" t="s">
        <v>91</v>
      </c>
      <c r="I83">
        <v>20</v>
      </c>
      <c r="J83">
        <v>7</v>
      </c>
      <c r="K83">
        <v>7</v>
      </c>
      <c r="L83" t="s">
        <v>92</v>
      </c>
      <c r="M83">
        <v>17</v>
      </c>
      <c r="N83">
        <v>1</v>
      </c>
      <c r="O83" t="s">
        <v>15</v>
      </c>
      <c r="P83">
        <v>1</v>
      </c>
      <c r="Q83" t="s">
        <v>90</v>
      </c>
      <c r="R83" t="s">
        <v>100</v>
      </c>
    </row>
    <row r="84" spans="1:18">
      <c r="A84">
        <v>1293</v>
      </c>
      <c r="B84" t="s">
        <v>99</v>
      </c>
      <c r="C84">
        <v>3</v>
      </c>
      <c r="D84">
        <v>9</v>
      </c>
      <c r="E84" t="s">
        <v>89</v>
      </c>
      <c r="F84" t="s">
        <v>90</v>
      </c>
      <c r="G84" t="s">
        <v>15</v>
      </c>
      <c r="H84" t="s">
        <v>91</v>
      </c>
      <c r="I84">
        <v>20</v>
      </c>
      <c r="J84">
        <v>0</v>
      </c>
      <c r="K84">
        <v>7</v>
      </c>
      <c r="L84" t="s">
        <v>92</v>
      </c>
      <c r="M84">
        <v>17</v>
      </c>
      <c r="N84">
        <v>1</v>
      </c>
      <c r="O84" t="s">
        <v>15</v>
      </c>
      <c r="P84">
        <v>1</v>
      </c>
      <c r="Q84" t="s">
        <v>90</v>
      </c>
      <c r="R84" t="s">
        <v>100</v>
      </c>
    </row>
    <row r="85" spans="1:18">
      <c r="A85">
        <v>1294</v>
      </c>
      <c r="B85" t="s">
        <v>99</v>
      </c>
      <c r="C85">
        <v>4</v>
      </c>
      <c r="D85">
        <v>9</v>
      </c>
      <c r="E85" t="s">
        <v>89</v>
      </c>
      <c r="F85" t="s">
        <v>90</v>
      </c>
      <c r="G85" t="s">
        <v>15</v>
      </c>
      <c r="H85" t="s">
        <v>91</v>
      </c>
      <c r="I85">
        <v>20</v>
      </c>
      <c r="J85">
        <v>0</v>
      </c>
      <c r="K85">
        <v>7</v>
      </c>
      <c r="L85" t="s">
        <v>92</v>
      </c>
      <c r="M85">
        <v>17</v>
      </c>
      <c r="N85">
        <v>1</v>
      </c>
      <c r="O85" t="s">
        <v>15</v>
      </c>
      <c r="P85">
        <v>1</v>
      </c>
      <c r="Q85" t="s">
        <v>90</v>
      </c>
      <c r="R85" t="s">
        <v>100</v>
      </c>
    </row>
    <row r="86" spans="1:18">
      <c r="A86">
        <v>1295</v>
      </c>
      <c r="B86" t="s">
        <v>99</v>
      </c>
      <c r="C86">
        <v>5</v>
      </c>
      <c r="D86">
        <v>9</v>
      </c>
      <c r="E86" t="s">
        <v>89</v>
      </c>
      <c r="F86" t="s">
        <v>90</v>
      </c>
      <c r="G86" t="s">
        <v>15</v>
      </c>
      <c r="H86" t="s">
        <v>91</v>
      </c>
      <c r="I86">
        <v>20</v>
      </c>
      <c r="J86">
        <v>0</v>
      </c>
      <c r="K86">
        <v>7</v>
      </c>
      <c r="L86" t="s">
        <v>92</v>
      </c>
      <c r="M86">
        <v>17</v>
      </c>
      <c r="N86">
        <v>1</v>
      </c>
      <c r="O86" t="s">
        <v>15</v>
      </c>
      <c r="P86">
        <v>1</v>
      </c>
      <c r="Q86" t="s">
        <v>90</v>
      </c>
      <c r="R86" t="s">
        <v>100</v>
      </c>
    </row>
    <row r="87" spans="1:18">
      <c r="A87">
        <v>1296</v>
      </c>
      <c r="B87" t="s">
        <v>99</v>
      </c>
      <c r="C87">
        <v>6</v>
      </c>
      <c r="D87">
        <v>10</v>
      </c>
      <c r="E87" t="s">
        <v>94</v>
      </c>
      <c r="F87" t="s">
        <v>90</v>
      </c>
      <c r="G87" t="s">
        <v>15</v>
      </c>
      <c r="H87" t="s">
        <v>91</v>
      </c>
      <c r="I87">
        <v>20</v>
      </c>
      <c r="J87">
        <v>0</v>
      </c>
      <c r="K87">
        <v>7</v>
      </c>
      <c r="L87" t="s">
        <v>92</v>
      </c>
      <c r="M87">
        <v>17</v>
      </c>
      <c r="N87">
        <v>1</v>
      </c>
      <c r="O87" t="s">
        <v>15</v>
      </c>
      <c r="P87">
        <v>1</v>
      </c>
      <c r="Q87" t="s">
        <v>90</v>
      </c>
      <c r="R87" t="s">
        <v>100</v>
      </c>
    </row>
    <row r="88" spans="1:18">
      <c r="A88">
        <v>1297</v>
      </c>
      <c r="B88" t="s">
        <v>99</v>
      </c>
      <c r="C88">
        <v>7</v>
      </c>
      <c r="D88">
        <v>10</v>
      </c>
      <c r="E88" t="s">
        <v>94</v>
      </c>
      <c r="F88" t="s">
        <v>90</v>
      </c>
      <c r="G88" t="s">
        <v>15</v>
      </c>
      <c r="H88" t="s">
        <v>91</v>
      </c>
      <c r="I88">
        <v>20</v>
      </c>
      <c r="J88">
        <v>0</v>
      </c>
      <c r="K88">
        <v>7</v>
      </c>
      <c r="L88" t="s">
        <v>92</v>
      </c>
      <c r="M88">
        <v>17</v>
      </c>
      <c r="N88">
        <v>1</v>
      </c>
      <c r="O88" t="s">
        <v>15</v>
      </c>
      <c r="P88">
        <v>1</v>
      </c>
      <c r="Q88" t="s">
        <v>90</v>
      </c>
      <c r="R88" t="s">
        <v>100</v>
      </c>
    </row>
    <row r="89" spans="1:18">
      <c r="A89">
        <v>1298</v>
      </c>
      <c r="B89" t="s">
        <v>99</v>
      </c>
      <c r="C89">
        <v>8</v>
      </c>
      <c r="D89">
        <v>10</v>
      </c>
      <c r="E89" t="s">
        <v>94</v>
      </c>
      <c r="F89" t="s">
        <v>90</v>
      </c>
      <c r="G89" t="s">
        <v>15</v>
      </c>
      <c r="H89" t="s">
        <v>91</v>
      </c>
      <c r="I89">
        <v>20</v>
      </c>
      <c r="J89">
        <v>0</v>
      </c>
      <c r="K89">
        <v>7</v>
      </c>
      <c r="L89" t="s">
        <v>92</v>
      </c>
      <c r="M89">
        <v>17</v>
      </c>
      <c r="N89">
        <v>1</v>
      </c>
      <c r="O89" t="s">
        <v>15</v>
      </c>
      <c r="P89">
        <v>1</v>
      </c>
      <c r="Q89" t="s">
        <v>90</v>
      </c>
      <c r="R89" t="s">
        <v>100</v>
      </c>
    </row>
    <row r="90" spans="1:18">
      <c r="A90">
        <v>1299</v>
      </c>
      <c r="B90" t="s">
        <v>99</v>
      </c>
      <c r="C90">
        <v>9</v>
      </c>
      <c r="D90">
        <v>10</v>
      </c>
      <c r="E90" t="s">
        <v>94</v>
      </c>
      <c r="F90" t="s">
        <v>90</v>
      </c>
      <c r="G90" t="s">
        <v>15</v>
      </c>
      <c r="H90" t="s">
        <v>91</v>
      </c>
      <c r="I90">
        <v>20</v>
      </c>
      <c r="J90">
        <v>0</v>
      </c>
      <c r="K90">
        <v>7</v>
      </c>
      <c r="L90" t="s">
        <v>92</v>
      </c>
      <c r="M90">
        <v>17</v>
      </c>
      <c r="N90">
        <v>1</v>
      </c>
      <c r="O90" t="s">
        <v>15</v>
      </c>
      <c r="P90">
        <v>1</v>
      </c>
      <c r="Q90" t="s">
        <v>90</v>
      </c>
      <c r="R90" t="s">
        <v>100</v>
      </c>
    </row>
    <row r="91" spans="1:18">
      <c r="A91">
        <v>1300</v>
      </c>
      <c r="B91" t="s">
        <v>99</v>
      </c>
      <c r="C91">
        <v>10</v>
      </c>
      <c r="D91">
        <v>9</v>
      </c>
      <c r="E91" t="s">
        <v>89</v>
      </c>
      <c r="F91" t="s">
        <v>90</v>
      </c>
      <c r="G91" t="s">
        <v>15</v>
      </c>
      <c r="H91" t="s">
        <v>91</v>
      </c>
      <c r="I91">
        <v>20</v>
      </c>
      <c r="J91">
        <v>0</v>
      </c>
      <c r="K91">
        <v>7</v>
      </c>
      <c r="L91" t="s">
        <v>92</v>
      </c>
      <c r="M91">
        <v>17</v>
      </c>
      <c r="N91">
        <v>1</v>
      </c>
      <c r="O91" t="s">
        <v>15</v>
      </c>
      <c r="P91">
        <v>1</v>
      </c>
      <c r="Q91" t="s">
        <v>90</v>
      </c>
      <c r="R91" t="s">
        <v>100</v>
      </c>
    </row>
    <row r="92" spans="1:18">
      <c r="A92">
        <v>1301</v>
      </c>
      <c r="B92" t="s">
        <v>99</v>
      </c>
      <c r="C92">
        <v>11</v>
      </c>
      <c r="D92">
        <v>11</v>
      </c>
      <c r="E92" t="s">
        <v>95</v>
      </c>
      <c r="F92" t="s">
        <v>90</v>
      </c>
      <c r="G92" t="s">
        <v>15</v>
      </c>
      <c r="H92" t="s">
        <v>91</v>
      </c>
      <c r="I92">
        <v>20</v>
      </c>
      <c r="J92">
        <v>0</v>
      </c>
      <c r="K92">
        <v>7</v>
      </c>
      <c r="L92" t="s">
        <v>92</v>
      </c>
      <c r="M92">
        <v>17</v>
      </c>
      <c r="N92">
        <v>1</v>
      </c>
      <c r="O92" t="s">
        <v>15</v>
      </c>
      <c r="P92">
        <v>1</v>
      </c>
      <c r="Q92" t="s">
        <v>90</v>
      </c>
      <c r="R92" t="s">
        <v>100</v>
      </c>
    </row>
    <row r="93" spans="1:18">
      <c r="A93">
        <v>1302</v>
      </c>
      <c r="B93" t="s">
        <v>99</v>
      </c>
      <c r="C93">
        <v>12</v>
      </c>
      <c r="D93">
        <v>11</v>
      </c>
      <c r="E93" t="s">
        <v>95</v>
      </c>
      <c r="F93" t="s">
        <v>90</v>
      </c>
      <c r="G93" t="s">
        <v>15</v>
      </c>
      <c r="H93" t="s">
        <v>91</v>
      </c>
      <c r="I93">
        <v>20</v>
      </c>
      <c r="J93">
        <v>0</v>
      </c>
      <c r="K93">
        <v>7</v>
      </c>
      <c r="L93" t="s">
        <v>92</v>
      </c>
      <c r="M93">
        <v>17</v>
      </c>
      <c r="N93">
        <v>1</v>
      </c>
      <c r="O93" t="s">
        <v>15</v>
      </c>
      <c r="P93">
        <v>1</v>
      </c>
      <c r="Q93" t="s">
        <v>90</v>
      </c>
      <c r="R93" t="s">
        <v>100</v>
      </c>
    </row>
    <row r="94" spans="1:18">
      <c r="A94">
        <v>1303</v>
      </c>
      <c r="B94" t="s">
        <v>99</v>
      </c>
      <c r="C94">
        <v>13</v>
      </c>
      <c r="D94">
        <v>11</v>
      </c>
      <c r="E94" t="s">
        <v>95</v>
      </c>
      <c r="F94" t="s">
        <v>90</v>
      </c>
      <c r="G94" t="s">
        <v>15</v>
      </c>
      <c r="H94" t="s">
        <v>91</v>
      </c>
      <c r="I94">
        <v>20</v>
      </c>
      <c r="J94">
        <v>0</v>
      </c>
      <c r="K94">
        <v>7</v>
      </c>
      <c r="L94" t="s">
        <v>92</v>
      </c>
      <c r="M94">
        <v>17</v>
      </c>
      <c r="N94">
        <v>1</v>
      </c>
      <c r="O94" t="s">
        <v>15</v>
      </c>
      <c r="P94">
        <v>1</v>
      </c>
      <c r="Q94" t="s">
        <v>90</v>
      </c>
      <c r="R94" t="s">
        <v>100</v>
      </c>
    </row>
    <row r="95" spans="1:18">
      <c r="A95">
        <v>1304</v>
      </c>
      <c r="B95" t="s">
        <v>99</v>
      </c>
      <c r="C95">
        <v>14</v>
      </c>
      <c r="D95">
        <v>11</v>
      </c>
      <c r="E95" t="s">
        <v>95</v>
      </c>
      <c r="F95" t="s">
        <v>90</v>
      </c>
      <c r="G95" t="s">
        <v>15</v>
      </c>
      <c r="H95" t="s">
        <v>91</v>
      </c>
      <c r="I95">
        <v>20</v>
      </c>
      <c r="J95">
        <v>0</v>
      </c>
      <c r="K95">
        <v>7</v>
      </c>
      <c r="L95" t="s">
        <v>92</v>
      </c>
      <c r="M95">
        <v>17</v>
      </c>
      <c r="N95">
        <v>1</v>
      </c>
      <c r="O95" t="s">
        <v>15</v>
      </c>
      <c r="P95">
        <v>1</v>
      </c>
      <c r="Q95" t="s">
        <v>90</v>
      </c>
      <c r="R95" t="s">
        <v>100</v>
      </c>
    </row>
    <row r="96" spans="1:18">
      <c r="A96">
        <v>1305</v>
      </c>
      <c r="B96" t="s">
        <v>99</v>
      </c>
      <c r="C96">
        <v>15</v>
      </c>
      <c r="D96">
        <v>11</v>
      </c>
      <c r="E96" t="s">
        <v>95</v>
      </c>
      <c r="F96" t="s">
        <v>90</v>
      </c>
      <c r="G96" t="s">
        <v>15</v>
      </c>
      <c r="H96" t="s">
        <v>91</v>
      </c>
      <c r="I96">
        <v>20</v>
      </c>
      <c r="J96">
        <v>0</v>
      </c>
      <c r="K96">
        <v>7</v>
      </c>
      <c r="L96" t="s">
        <v>92</v>
      </c>
      <c r="M96">
        <v>17</v>
      </c>
      <c r="N96">
        <v>1</v>
      </c>
      <c r="O96" t="s">
        <v>15</v>
      </c>
      <c r="P96">
        <v>1</v>
      </c>
      <c r="Q96" t="s">
        <v>90</v>
      </c>
      <c r="R96" t="s">
        <v>100</v>
      </c>
    </row>
    <row r="97" spans="1:18">
      <c r="A97">
        <v>1306</v>
      </c>
      <c r="B97" t="s">
        <v>99</v>
      </c>
      <c r="C97">
        <v>16</v>
      </c>
      <c r="D97">
        <v>11</v>
      </c>
      <c r="E97" t="s">
        <v>95</v>
      </c>
      <c r="F97" t="s">
        <v>90</v>
      </c>
      <c r="G97" t="s">
        <v>15</v>
      </c>
      <c r="H97" t="s">
        <v>91</v>
      </c>
      <c r="I97">
        <v>20</v>
      </c>
      <c r="J97">
        <v>0</v>
      </c>
      <c r="K97">
        <v>7</v>
      </c>
      <c r="L97" t="s">
        <v>92</v>
      </c>
      <c r="M97">
        <v>17</v>
      </c>
      <c r="N97">
        <v>1</v>
      </c>
      <c r="O97" t="s">
        <v>15</v>
      </c>
      <c r="P97">
        <v>1</v>
      </c>
      <c r="Q97" t="s">
        <v>90</v>
      </c>
      <c r="R97" t="s">
        <v>100</v>
      </c>
    </row>
    <row r="98" spans="1:18">
      <c r="A98">
        <v>1307</v>
      </c>
      <c r="B98" t="s">
        <v>99</v>
      </c>
      <c r="C98">
        <v>17</v>
      </c>
      <c r="D98">
        <v>11</v>
      </c>
      <c r="E98" t="s">
        <v>95</v>
      </c>
      <c r="F98" t="s">
        <v>90</v>
      </c>
      <c r="G98" t="s">
        <v>15</v>
      </c>
      <c r="H98" t="s">
        <v>91</v>
      </c>
      <c r="I98">
        <v>20</v>
      </c>
      <c r="J98">
        <v>0</v>
      </c>
      <c r="K98">
        <v>7</v>
      </c>
      <c r="L98" t="s">
        <v>92</v>
      </c>
      <c r="M98">
        <v>17</v>
      </c>
      <c r="N98">
        <v>1</v>
      </c>
      <c r="O98" t="s">
        <v>15</v>
      </c>
      <c r="P98">
        <v>1</v>
      </c>
      <c r="Q98" t="s">
        <v>90</v>
      </c>
      <c r="R98" t="s">
        <v>100</v>
      </c>
    </row>
    <row r="99" spans="1:18">
      <c r="A99">
        <v>1308</v>
      </c>
      <c r="B99" t="s">
        <v>99</v>
      </c>
      <c r="C99">
        <v>18</v>
      </c>
      <c r="D99">
        <v>11</v>
      </c>
      <c r="E99" t="s">
        <v>95</v>
      </c>
      <c r="F99" t="s">
        <v>90</v>
      </c>
      <c r="G99" t="s">
        <v>15</v>
      </c>
      <c r="H99" t="s">
        <v>91</v>
      </c>
      <c r="I99">
        <v>20</v>
      </c>
      <c r="J99">
        <v>0</v>
      </c>
      <c r="K99">
        <v>7</v>
      </c>
      <c r="L99" t="s">
        <v>92</v>
      </c>
      <c r="M99">
        <v>17</v>
      </c>
      <c r="N99">
        <v>1</v>
      </c>
      <c r="O99" t="s">
        <v>15</v>
      </c>
      <c r="P99">
        <v>1</v>
      </c>
      <c r="Q99" t="s">
        <v>90</v>
      </c>
      <c r="R99" t="s">
        <v>100</v>
      </c>
    </row>
    <row r="100" spans="1:18">
      <c r="A100">
        <v>1309</v>
      </c>
      <c r="B100" t="s">
        <v>99</v>
      </c>
      <c r="C100">
        <v>19</v>
      </c>
      <c r="D100">
        <v>11</v>
      </c>
      <c r="E100" t="s">
        <v>95</v>
      </c>
      <c r="F100" t="s">
        <v>90</v>
      </c>
      <c r="G100" t="s">
        <v>15</v>
      </c>
      <c r="H100" t="s">
        <v>91</v>
      </c>
      <c r="I100">
        <v>20</v>
      </c>
      <c r="J100">
        <v>0</v>
      </c>
      <c r="K100">
        <v>7</v>
      </c>
      <c r="L100" t="s">
        <v>92</v>
      </c>
      <c r="M100">
        <v>17</v>
      </c>
      <c r="N100">
        <v>1</v>
      </c>
      <c r="O100" t="s">
        <v>15</v>
      </c>
      <c r="P100">
        <v>1</v>
      </c>
      <c r="Q100" t="s">
        <v>90</v>
      </c>
      <c r="R100" t="s">
        <v>100</v>
      </c>
    </row>
    <row r="101" spans="1:18">
      <c r="A101">
        <v>1310</v>
      </c>
      <c r="B101" t="s">
        <v>99</v>
      </c>
      <c r="C101">
        <v>20</v>
      </c>
      <c r="D101">
        <v>11</v>
      </c>
      <c r="E101" t="s">
        <v>95</v>
      </c>
      <c r="F101" t="s">
        <v>90</v>
      </c>
      <c r="G101" t="s">
        <v>15</v>
      </c>
      <c r="H101" t="s">
        <v>91</v>
      </c>
      <c r="I101">
        <v>20</v>
      </c>
      <c r="J101">
        <v>0</v>
      </c>
      <c r="K101">
        <v>7</v>
      </c>
      <c r="L101" t="s">
        <v>92</v>
      </c>
      <c r="M101">
        <v>17</v>
      </c>
      <c r="N101">
        <v>1</v>
      </c>
      <c r="O101" t="s">
        <v>15</v>
      </c>
      <c r="P101">
        <v>1</v>
      </c>
      <c r="Q101" t="s">
        <v>90</v>
      </c>
      <c r="R101" t="s">
        <v>100</v>
      </c>
    </row>
    <row r="102" spans="1:18">
      <c r="A102">
        <v>1311</v>
      </c>
      <c r="B102" t="s">
        <v>99</v>
      </c>
      <c r="C102">
        <v>21</v>
      </c>
      <c r="D102">
        <v>9</v>
      </c>
      <c r="E102" t="s">
        <v>89</v>
      </c>
      <c r="F102" t="s">
        <v>90</v>
      </c>
      <c r="G102" t="s">
        <v>15</v>
      </c>
      <c r="H102" t="s">
        <v>91</v>
      </c>
      <c r="I102">
        <v>20</v>
      </c>
      <c r="J102">
        <v>0</v>
      </c>
      <c r="K102">
        <v>7</v>
      </c>
      <c r="L102" t="s">
        <v>92</v>
      </c>
      <c r="M102">
        <v>17</v>
      </c>
      <c r="N102">
        <v>1</v>
      </c>
      <c r="O102" t="s">
        <v>15</v>
      </c>
      <c r="P102">
        <v>1</v>
      </c>
      <c r="Q102" t="s">
        <v>90</v>
      </c>
      <c r="R102" t="s">
        <v>100</v>
      </c>
    </row>
    <row r="103" spans="1:18">
      <c r="A103">
        <v>1312</v>
      </c>
      <c r="B103" t="s">
        <v>99</v>
      </c>
      <c r="C103">
        <v>22</v>
      </c>
      <c r="D103">
        <v>10</v>
      </c>
      <c r="E103" t="s">
        <v>94</v>
      </c>
      <c r="F103" t="s">
        <v>90</v>
      </c>
      <c r="G103" t="s">
        <v>15</v>
      </c>
      <c r="H103" t="s">
        <v>91</v>
      </c>
      <c r="I103">
        <v>20</v>
      </c>
      <c r="J103">
        <v>0</v>
      </c>
      <c r="K103">
        <v>7</v>
      </c>
      <c r="L103" t="s">
        <v>92</v>
      </c>
      <c r="M103">
        <v>17</v>
      </c>
      <c r="N103">
        <v>1</v>
      </c>
      <c r="O103" t="s">
        <v>15</v>
      </c>
      <c r="P103">
        <v>1</v>
      </c>
      <c r="Q103" t="s">
        <v>90</v>
      </c>
      <c r="R103" t="s">
        <v>100</v>
      </c>
    </row>
    <row r="104" spans="1:18">
      <c r="A104">
        <v>1313</v>
      </c>
      <c r="B104" t="s">
        <v>99</v>
      </c>
      <c r="C104">
        <v>23</v>
      </c>
      <c r="D104">
        <v>9</v>
      </c>
      <c r="E104" t="s">
        <v>89</v>
      </c>
      <c r="F104" t="s">
        <v>90</v>
      </c>
      <c r="G104" t="s">
        <v>15</v>
      </c>
      <c r="H104" t="s">
        <v>91</v>
      </c>
      <c r="I104">
        <v>20</v>
      </c>
      <c r="J104">
        <v>0</v>
      </c>
      <c r="K104">
        <v>7</v>
      </c>
      <c r="L104" t="s">
        <v>92</v>
      </c>
      <c r="M104">
        <v>17</v>
      </c>
      <c r="N104">
        <v>1</v>
      </c>
      <c r="O104" t="s">
        <v>15</v>
      </c>
      <c r="P104">
        <v>1</v>
      </c>
      <c r="Q104" t="s">
        <v>90</v>
      </c>
      <c r="R104" t="s">
        <v>100</v>
      </c>
    </row>
    <row r="105" spans="1:18">
      <c r="A105">
        <v>1314</v>
      </c>
      <c r="B105" t="s">
        <v>99</v>
      </c>
      <c r="C105">
        <v>24</v>
      </c>
      <c r="D105">
        <v>10</v>
      </c>
      <c r="E105" t="s">
        <v>94</v>
      </c>
      <c r="F105" t="s">
        <v>90</v>
      </c>
      <c r="G105" t="s">
        <v>15</v>
      </c>
      <c r="H105" t="s">
        <v>91</v>
      </c>
      <c r="I105">
        <v>20</v>
      </c>
      <c r="J105">
        <v>0</v>
      </c>
      <c r="K105">
        <v>7</v>
      </c>
      <c r="L105" t="s">
        <v>92</v>
      </c>
      <c r="M105">
        <v>17</v>
      </c>
      <c r="N105">
        <v>1</v>
      </c>
      <c r="O105" t="s">
        <v>15</v>
      </c>
      <c r="P105">
        <v>1</v>
      </c>
      <c r="Q105" t="s">
        <v>90</v>
      </c>
      <c r="R105" t="s">
        <v>100</v>
      </c>
    </row>
    <row r="106" spans="1:18">
      <c r="A106">
        <v>1315</v>
      </c>
      <c r="B106" t="s">
        <v>99</v>
      </c>
      <c r="C106">
        <v>25</v>
      </c>
      <c r="D106">
        <v>9</v>
      </c>
      <c r="E106" t="s">
        <v>89</v>
      </c>
      <c r="F106" t="s">
        <v>90</v>
      </c>
      <c r="G106" t="s">
        <v>15</v>
      </c>
      <c r="H106" t="s">
        <v>91</v>
      </c>
      <c r="I106">
        <v>20</v>
      </c>
      <c r="J106">
        <v>0</v>
      </c>
      <c r="K106">
        <v>7</v>
      </c>
      <c r="L106" t="s">
        <v>92</v>
      </c>
      <c r="M106">
        <v>17</v>
      </c>
      <c r="N106">
        <v>1</v>
      </c>
      <c r="O106" t="s">
        <v>15</v>
      </c>
      <c r="P106">
        <v>1</v>
      </c>
      <c r="Q106" t="s">
        <v>90</v>
      </c>
      <c r="R106" t="s">
        <v>100</v>
      </c>
    </row>
    <row r="107" spans="1:18">
      <c r="A107">
        <v>1316</v>
      </c>
      <c r="B107" t="s">
        <v>99</v>
      </c>
      <c r="C107">
        <v>26</v>
      </c>
      <c r="D107">
        <v>10</v>
      </c>
      <c r="E107" t="s">
        <v>94</v>
      </c>
      <c r="F107" t="s">
        <v>90</v>
      </c>
      <c r="G107" t="s">
        <v>15</v>
      </c>
      <c r="H107" t="s">
        <v>91</v>
      </c>
      <c r="I107">
        <v>20</v>
      </c>
      <c r="J107">
        <v>0</v>
      </c>
      <c r="K107">
        <v>7</v>
      </c>
      <c r="L107" t="s">
        <v>92</v>
      </c>
      <c r="M107">
        <v>17</v>
      </c>
      <c r="N107">
        <v>1</v>
      </c>
      <c r="O107" t="s">
        <v>15</v>
      </c>
      <c r="P107">
        <v>1</v>
      </c>
      <c r="Q107" t="s">
        <v>90</v>
      </c>
      <c r="R107" t="s">
        <v>100</v>
      </c>
    </row>
    <row r="108" spans="1:18">
      <c r="A108">
        <v>1317</v>
      </c>
      <c r="B108" t="s">
        <v>99</v>
      </c>
      <c r="C108">
        <v>27</v>
      </c>
      <c r="D108">
        <v>9</v>
      </c>
      <c r="E108" t="s">
        <v>89</v>
      </c>
      <c r="F108" t="s">
        <v>90</v>
      </c>
      <c r="G108" t="s">
        <v>15</v>
      </c>
      <c r="H108" t="s">
        <v>91</v>
      </c>
      <c r="I108">
        <v>20</v>
      </c>
      <c r="J108">
        <v>0</v>
      </c>
      <c r="K108">
        <v>7</v>
      </c>
      <c r="L108" t="s">
        <v>92</v>
      </c>
      <c r="M108">
        <v>17</v>
      </c>
      <c r="N108">
        <v>1</v>
      </c>
      <c r="O108" t="s">
        <v>15</v>
      </c>
      <c r="P108">
        <v>1</v>
      </c>
      <c r="Q108" t="s">
        <v>90</v>
      </c>
      <c r="R108" t="s">
        <v>100</v>
      </c>
    </row>
    <row r="109" spans="1:18">
      <c r="A109">
        <v>1318</v>
      </c>
      <c r="B109" t="s">
        <v>99</v>
      </c>
      <c r="C109">
        <v>28</v>
      </c>
      <c r="D109">
        <v>10</v>
      </c>
      <c r="E109" t="s">
        <v>94</v>
      </c>
      <c r="F109" t="s">
        <v>90</v>
      </c>
      <c r="G109" t="s">
        <v>15</v>
      </c>
      <c r="H109" t="s">
        <v>91</v>
      </c>
      <c r="I109">
        <v>20</v>
      </c>
      <c r="J109">
        <v>0</v>
      </c>
      <c r="K109">
        <v>7</v>
      </c>
      <c r="L109" t="s">
        <v>92</v>
      </c>
      <c r="M109">
        <v>17</v>
      </c>
      <c r="N109">
        <v>1</v>
      </c>
      <c r="O109" t="s">
        <v>15</v>
      </c>
      <c r="P109">
        <v>1</v>
      </c>
      <c r="Q109" t="s">
        <v>90</v>
      </c>
      <c r="R109" t="s">
        <v>100</v>
      </c>
    </row>
    <row r="110" spans="1:18">
      <c r="A110">
        <v>1319</v>
      </c>
      <c r="B110" t="s">
        <v>99</v>
      </c>
      <c r="C110">
        <v>29</v>
      </c>
      <c r="D110">
        <v>9</v>
      </c>
      <c r="E110" t="s">
        <v>89</v>
      </c>
      <c r="F110" t="s">
        <v>90</v>
      </c>
      <c r="G110" t="s">
        <v>15</v>
      </c>
      <c r="H110" t="s">
        <v>91</v>
      </c>
      <c r="I110">
        <v>20</v>
      </c>
      <c r="J110">
        <v>0</v>
      </c>
      <c r="K110">
        <v>7</v>
      </c>
      <c r="L110" t="s">
        <v>92</v>
      </c>
      <c r="M110">
        <v>17</v>
      </c>
      <c r="N110">
        <v>1</v>
      </c>
      <c r="O110" t="s">
        <v>15</v>
      </c>
      <c r="P110">
        <v>1</v>
      </c>
      <c r="Q110" t="s">
        <v>90</v>
      </c>
      <c r="R110" t="s">
        <v>100</v>
      </c>
    </row>
    <row r="111" spans="1:18">
      <c r="A111">
        <v>1320</v>
      </c>
      <c r="B111" t="s">
        <v>99</v>
      </c>
      <c r="C111">
        <v>30</v>
      </c>
      <c r="D111">
        <v>10</v>
      </c>
      <c r="E111" t="s">
        <v>94</v>
      </c>
      <c r="F111" t="s">
        <v>90</v>
      </c>
      <c r="G111" t="s">
        <v>15</v>
      </c>
      <c r="H111" t="s">
        <v>91</v>
      </c>
      <c r="I111">
        <v>20</v>
      </c>
      <c r="J111">
        <v>0</v>
      </c>
      <c r="K111">
        <v>7</v>
      </c>
      <c r="L111" t="s">
        <v>92</v>
      </c>
      <c r="M111">
        <v>17</v>
      </c>
      <c r="N111">
        <v>1</v>
      </c>
      <c r="O111" t="s">
        <v>15</v>
      </c>
      <c r="P111">
        <v>1</v>
      </c>
      <c r="Q111" t="s">
        <v>90</v>
      </c>
      <c r="R111" t="s">
        <v>100</v>
      </c>
    </row>
    <row r="112" spans="1:18">
      <c r="A112">
        <v>1321</v>
      </c>
      <c r="B112" t="s">
        <v>99</v>
      </c>
      <c r="C112">
        <v>31</v>
      </c>
      <c r="D112">
        <v>12</v>
      </c>
      <c r="E112" t="s">
        <v>96</v>
      </c>
      <c r="F112" t="s">
        <v>90</v>
      </c>
      <c r="G112" t="s">
        <v>15</v>
      </c>
      <c r="H112" t="s">
        <v>91</v>
      </c>
      <c r="I112">
        <v>20</v>
      </c>
      <c r="J112">
        <v>0</v>
      </c>
      <c r="K112">
        <v>7</v>
      </c>
      <c r="L112" t="s">
        <v>92</v>
      </c>
      <c r="M112">
        <v>17</v>
      </c>
      <c r="N112">
        <v>1</v>
      </c>
      <c r="O112" t="s">
        <v>15</v>
      </c>
      <c r="P112">
        <v>1</v>
      </c>
      <c r="Q112" t="s">
        <v>90</v>
      </c>
      <c r="R112" t="s">
        <v>100</v>
      </c>
    </row>
    <row r="113" spans="1:18">
      <c r="A113">
        <v>1322</v>
      </c>
      <c r="B113" t="s">
        <v>99</v>
      </c>
      <c r="C113">
        <v>32</v>
      </c>
      <c r="D113">
        <v>12</v>
      </c>
      <c r="E113" t="s">
        <v>96</v>
      </c>
      <c r="F113" t="s">
        <v>90</v>
      </c>
      <c r="G113" t="s">
        <v>15</v>
      </c>
      <c r="H113" t="s">
        <v>91</v>
      </c>
      <c r="I113">
        <v>20</v>
      </c>
      <c r="J113">
        <v>0</v>
      </c>
      <c r="K113">
        <v>7</v>
      </c>
      <c r="L113" t="s">
        <v>92</v>
      </c>
      <c r="M113">
        <v>17</v>
      </c>
      <c r="N113">
        <v>1</v>
      </c>
      <c r="O113" t="s">
        <v>15</v>
      </c>
      <c r="P113">
        <v>1</v>
      </c>
      <c r="Q113" t="s">
        <v>90</v>
      </c>
      <c r="R113" t="s">
        <v>100</v>
      </c>
    </row>
    <row r="114" spans="1:18">
      <c r="A114">
        <v>1323</v>
      </c>
      <c r="B114" t="s">
        <v>99</v>
      </c>
      <c r="C114">
        <v>33</v>
      </c>
      <c r="D114">
        <v>12</v>
      </c>
      <c r="E114" t="s">
        <v>96</v>
      </c>
      <c r="F114" t="s">
        <v>90</v>
      </c>
      <c r="G114" t="s">
        <v>15</v>
      </c>
      <c r="H114" t="s">
        <v>91</v>
      </c>
      <c r="I114">
        <v>20</v>
      </c>
      <c r="J114">
        <v>0</v>
      </c>
      <c r="K114">
        <v>7</v>
      </c>
      <c r="L114" t="s">
        <v>92</v>
      </c>
      <c r="M114">
        <v>17</v>
      </c>
      <c r="N114">
        <v>1</v>
      </c>
      <c r="O114" t="s">
        <v>15</v>
      </c>
      <c r="P114">
        <v>1</v>
      </c>
      <c r="Q114" t="s">
        <v>90</v>
      </c>
      <c r="R114" t="s">
        <v>100</v>
      </c>
    </row>
    <row r="115" spans="1:18">
      <c r="A115">
        <v>1324</v>
      </c>
      <c r="B115" t="s">
        <v>99</v>
      </c>
      <c r="C115">
        <v>34</v>
      </c>
      <c r="D115">
        <v>12</v>
      </c>
      <c r="E115" t="s">
        <v>96</v>
      </c>
      <c r="F115" t="s">
        <v>90</v>
      </c>
      <c r="G115" t="s">
        <v>15</v>
      </c>
      <c r="H115" t="s">
        <v>91</v>
      </c>
      <c r="I115">
        <v>20</v>
      </c>
      <c r="J115">
        <v>0</v>
      </c>
      <c r="K115">
        <v>7</v>
      </c>
      <c r="L115" t="s">
        <v>92</v>
      </c>
      <c r="M115">
        <v>17</v>
      </c>
      <c r="N115">
        <v>1</v>
      </c>
      <c r="O115" t="s">
        <v>15</v>
      </c>
      <c r="P115">
        <v>1</v>
      </c>
      <c r="Q115" t="s">
        <v>90</v>
      </c>
      <c r="R115" t="s">
        <v>100</v>
      </c>
    </row>
    <row r="116" spans="1:18">
      <c r="A116">
        <v>1325</v>
      </c>
      <c r="B116" t="s">
        <v>99</v>
      </c>
      <c r="C116">
        <v>35</v>
      </c>
      <c r="D116">
        <v>12</v>
      </c>
      <c r="E116" t="s">
        <v>96</v>
      </c>
      <c r="F116" t="s">
        <v>90</v>
      </c>
      <c r="G116" t="s">
        <v>15</v>
      </c>
      <c r="H116" t="s">
        <v>91</v>
      </c>
      <c r="I116">
        <v>20</v>
      </c>
      <c r="J116">
        <v>0</v>
      </c>
      <c r="K116">
        <v>7</v>
      </c>
      <c r="L116" t="s">
        <v>92</v>
      </c>
      <c r="M116">
        <v>17</v>
      </c>
      <c r="N116">
        <v>1</v>
      </c>
      <c r="O116" t="s">
        <v>15</v>
      </c>
      <c r="P116">
        <v>1</v>
      </c>
      <c r="Q116" t="s">
        <v>90</v>
      </c>
      <c r="R116" t="s">
        <v>100</v>
      </c>
    </row>
    <row r="117" spans="1:18">
      <c r="A117">
        <v>1326</v>
      </c>
      <c r="B117" t="s">
        <v>99</v>
      </c>
      <c r="C117">
        <v>36</v>
      </c>
      <c r="D117">
        <v>12</v>
      </c>
      <c r="E117" t="s">
        <v>96</v>
      </c>
      <c r="F117" t="s">
        <v>90</v>
      </c>
      <c r="G117" t="s">
        <v>15</v>
      </c>
      <c r="H117" t="s">
        <v>91</v>
      </c>
      <c r="I117">
        <v>20</v>
      </c>
      <c r="J117">
        <v>0</v>
      </c>
      <c r="K117">
        <v>7</v>
      </c>
      <c r="L117" t="s">
        <v>92</v>
      </c>
      <c r="M117">
        <v>17</v>
      </c>
      <c r="N117">
        <v>1</v>
      </c>
      <c r="O117" t="s">
        <v>15</v>
      </c>
      <c r="P117">
        <v>1</v>
      </c>
      <c r="Q117" t="s">
        <v>90</v>
      </c>
      <c r="R117" t="s">
        <v>100</v>
      </c>
    </row>
    <row r="118" spans="1:18">
      <c r="A118">
        <v>1327</v>
      </c>
      <c r="B118" t="s">
        <v>99</v>
      </c>
      <c r="C118">
        <v>37</v>
      </c>
      <c r="D118">
        <v>12</v>
      </c>
      <c r="E118" t="s">
        <v>96</v>
      </c>
      <c r="F118" t="s">
        <v>90</v>
      </c>
      <c r="G118" t="s">
        <v>15</v>
      </c>
      <c r="H118" t="s">
        <v>91</v>
      </c>
      <c r="I118">
        <v>20</v>
      </c>
      <c r="J118">
        <v>0</v>
      </c>
      <c r="K118">
        <v>7</v>
      </c>
      <c r="L118" t="s">
        <v>92</v>
      </c>
      <c r="M118">
        <v>17</v>
      </c>
      <c r="N118">
        <v>1</v>
      </c>
      <c r="O118" t="s">
        <v>15</v>
      </c>
      <c r="P118">
        <v>1</v>
      </c>
      <c r="Q118" t="s">
        <v>90</v>
      </c>
      <c r="R118" t="s">
        <v>100</v>
      </c>
    </row>
    <row r="119" spans="1:18">
      <c r="A119">
        <v>1328</v>
      </c>
      <c r="B119" t="s">
        <v>99</v>
      </c>
      <c r="C119">
        <v>38</v>
      </c>
      <c r="D119">
        <v>12</v>
      </c>
      <c r="E119" t="s">
        <v>96</v>
      </c>
      <c r="F119" t="s">
        <v>90</v>
      </c>
      <c r="G119" t="s">
        <v>15</v>
      </c>
      <c r="H119" t="s">
        <v>91</v>
      </c>
      <c r="I119">
        <v>20</v>
      </c>
      <c r="J119">
        <v>0</v>
      </c>
      <c r="K119">
        <v>7</v>
      </c>
      <c r="L119" t="s">
        <v>92</v>
      </c>
      <c r="M119">
        <v>17</v>
      </c>
      <c r="N119">
        <v>1</v>
      </c>
      <c r="O119" t="s">
        <v>15</v>
      </c>
      <c r="P119">
        <v>1</v>
      </c>
      <c r="Q119" t="s">
        <v>90</v>
      </c>
      <c r="R119" t="s">
        <v>100</v>
      </c>
    </row>
    <row r="120" spans="1:18">
      <c r="A120">
        <v>1329</v>
      </c>
      <c r="B120" t="s">
        <v>99</v>
      </c>
      <c r="C120">
        <v>39</v>
      </c>
      <c r="D120">
        <v>12</v>
      </c>
      <c r="E120" t="s">
        <v>96</v>
      </c>
      <c r="F120" t="s">
        <v>90</v>
      </c>
      <c r="G120" t="s">
        <v>15</v>
      </c>
      <c r="H120" t="s">
        <v>91</v>
      </c>
      <c r="I120">
        <v>20</v>
      </c>
      <c r="J120">
        <v>0</v>
      </c>
      <c r="K120">
        <v>7</v>
      </c>
      <c r="L120" t="s">
        <v>92</v>
      </c>
      <c r="M120">
        <v>17</v>
      </c>
      <c r="N120">
        <v>1</v>
      </c>
      <c r="O120" t="s">
        <v>15</v>
      </c>
      <c r="P120">
        <v>1</v>
      </c>
      <c r="Q120" t="s">
        <v>90</v>
      </c>
      <c r="R120" t="s">
        <v>100</v>
      </c>
    </row>
    <row r="121" spans="1:18">
      <c r="A121">
        <v>1330</v>
      </c>
      <c r="B121" t="s">
        <v>99</v>
      </c>
      <c r="C121">
        <v>40</v>
      </c>
      <c r="D121">
        <v>12</v>
      </c>
      <c r="E121" t="s">
        <v>96</v>
      </c>
      <c r="F121" t="s">
        <v>90</v>
      </c>
      <c r="G121" t="s">
        <v>15</v>
      </c>
      <c r="H121" t="s">
        <v>91</v>
      </c>
      <c r="I121">
        <v>20</v>
      </c>
      <c r="J121">
        <v>0</v>
      </c>
      <c r="K121">
        <v>7</v>
      </c>
      <c r="L121" t="s">
        <v>92</v>
      </c>
      <c r="M121">
        <v>17</v>
      </c>
      <c r="N121">
        <v>1</v>
      </c>
      <c r="O121" t="s">
        <v>15</v>
      </c>
      <c r="P121">
        <v>1</v>
      </c>
      <c r="Q121" t="s">
        <v>90</v>
      </c>
      <c r="R121" t="s">
        <v>100</v>
      </c>
    </row>
    <row r="122" spans="1:18">
      <c r="A122">
        <v>1331</v>
      </c>
      <c r="B122" t="s">
        <v>101</v>
      </c>
      <c r="C122">
        <v>1</v>
      </c>
      <c r="D122">
        <v>9</v>
      </c>
      <c r="E122" t="s">
        <v>89</v>
      </c>
      <c r="F122" t="s">
        <v>90</v>
      </c>
      <c r="G122" t="s">
        <v>15</v>
      </c>
      <c r="H122" t="s">
        <v>91</v>
      </c>
      <c r="I122">
        <v>20</v>
      </c>
      <c r="J122">
        <v>15</v>
      </c>
      <c r="K122">
        <v>7</v>
      </c>
      <c r="L122" t="s">
        <v>92</v>
      </c>
      <c r="M122">
        <v>18</v>
      </c>
      <c r="N122">
        <v>1</v>
      </c>
      <c r="O122" t="s">
        <v>15</v>
      </c>
      <c r="P122">
        <v>1</v>
      </c>
      <c r="Q122" t="s">
        <v>90</v>
      </c>
      <c r="R122" t="s">
        <v>102</v>
      </c>
    </row>
    <row r="123" spans="1:18">
      <c r="A123">
        <v>1332</v>
      </c>
      <c r="B123" t="s">
        <v>101</v>
      </c>
      <c r="C123">
        <v>2</v>
      </c>
      <c r="D123">
        <v>10</v>
      </c>
      <c r="E123" t="s">
        <v>94</v>
      </c>
      <c r="F123" t="s">
        <v>90</v>
      </c>
      <c r="G123" t="s">
        <v>15</v>
      </c>
      <c r="H123" t="s">
        <v>91</v>
      </c>
      <c r="I123">
        <v>20</v>
      </c>
      <c r="J123">
        <v>12</v>
      </c>
      <c r="K123">
        <v>7</v>
      </c>
      <c r="L123" t="s">
        <v>92</v>
      </c>
      <c r="M123">
        <v>18</v>
      </c>
      <c r="N123">
        <v>1</v>
      </c>
      <c r="O123" t="s">
        <v>15</v>
      </c>
      <c r="P123">
        <v>1</v>
      </c>
      <c r="Q123" t="s">
        <v>90</v>
      </c>
      <c r="R123" t="s">
        <v>102</v>
      </c>
    </row>
    <row r="124" spans="1:18">
      <c r="A124">
        <v>1333</v>
      </c>
      <c r="B124" t="s">
        <v>101</v>
      </c>
      <c r="C124">
        <v>3</v>
      </c>
      <c r="D124">
        <v>9</v>
      </c>
      <c r="E124" t="s">
        <v>89</v>
      </c>
      <c r="F124" t="s">
        <v>90</v>
      </c>
      <c r="G124" t="s">
        <v>15</v>
      </c>
      <c r="H124" t="s">
        <v>91</v>
      </c>
      <c r="I124">
        <v>20</v>
      </c>
      <c r="J124">
        <v>0</v>
      </c>
      <c r="K124">
        <v>7</v>
      </c>
      <c r="L124" t="s">
        <v>92</v>
      </c>
      <c r="M124">
        <v>18</v>
      </c>
      <c r="N124">
        <v>1</v>
      </c>
      <c r="O124" t="s">
        <v>15</v>
      </c>
      <c r="P124">
        <v>1</v>
      </c>
      <c r="Q124" t="s">
        <v>90</v>
      </c>
      <c r="R124" t="s">
        <v>102</v>
      </c>
    </row>
    <row r="125" spans="1:18">
      <c r="A125">
        <v>1334</v>
      </c>
      <c r="B125" t="s">
        <v>101</v>
      </c>
      <c r="C125">
        <v>4</v>
      </c>
      <c r="D125">
        <v>9</v>
      </c>
      <c r="E125" t="s">
        <v>89</v>
      </c>
      <c r="F125" t="s">
        <v>90</v>
      </c>
      <c r="G125" t="s">
        <v>15</v>
      </c>
      <c r="H125" t="s">
        <v>91</v>
      </c>
      <c r="I125">
        <v>20</v>
      </c>
      <c r="J125">
        <v>0</v>
      </c>
      <c r="K125">
        <v>7</v>
      </c>
      <c r="L125" t="s">
        <v>92</v>
      </c>
      <c r="M125">
        <v>18</v>
      </c>
      <c r="N125">
        <v>1</v>
      </c>
      <c r="O125" t="s">
        <v>15</v>
      </c>
      <c r="P125">
        <v>1</v>
      </c>
      <c r="Q125" t="s">
        <v>90</v>
      </c>
      <c r="R125" t="s">
        <v>102</v>
      </c>
    </row>
    <row r="126" spans="1:18">
      <c r="A126">
        <v>1335</v>
      </c>
      <c r="B126" t="s">
        <v>101</v>
      </c>
      <c r="C126">
        <v>5</v>
      </c>
      <c r="D126">
        <v>9</v>
      </c>
      <c r="E126" t="s">
        <v>89</v>
      </c>
      <c r="F126" t="s">
        <v>90</v>
      </c>
      <c r="G126" t="s">
        <v>15</v>
      </c>
      <c r="H126" t="s">
        <v>91</v>
      </c>
      <c r="I126">
        <v>20</v>
      </c>
      <c r="J126">
        <v>0</v>
      </c>
      <c r="K126">
        <v>7</v>
      </c>
      <c r="L126" t="s">
        <v>92</v>
      </c>
      <c r="M126">
        <v>18</v>
      </c>
      <c r="N126">
        <v>1</v>
      </c>
      <c r="O126" t="s">
        <v>15</v>
      </c>
      <c r="P126">
        <v>1</v>
      </c>
      <c r="Q126" t="s">
        <v>90</v>
      </c>
      <c r="R126" t="s">
        <v>102</v>
      </c>
    </row>
    <row r="127" spans="1:18">
      <c r="A127">
        <v>1336</v>
      </c>
      <c r="B127" t="s">
        <v>101</v>
      </c>
      <c r="C127">
        <v>6</v>
      </c>
      <c r="D127">
        <v>10</v>
      </c>
      <c r="E127" t="s">
        <v>94</v>
      </c>
      <c r="F127" t="s">
        <v>90</v>
      </c>
      <c r="G127" t="s">
        <v>15</v>
      </c>
      <c r="H127" t="s">
        <v>91</v>
      </c>
      <c r="I127">
        <v>20</v>
      </c>
      <c r="J127">
        <v>0</v>
      </c>
      <c r="K127">
        <v>7</v>
      </c>
      <c r="L127" t="s">
        <v>92</v>
      </c>
      <c r="M127">
        <v>18</v>
      </c>
      <c r="N127">
        <v>1</v>
      </c>
      <c r="O127" t="s">
        <v>15</v>
      </c>
      <c r="P127">
        <v>1</v>
      </c>
      <c r="Q127" t="s">
        <v>90</v>
      </c>
      <c r="R127" t="s">
        <v>102</v>
      </c>
    </row>
    <row r="128" spans="1:18">
      <c r="A128">
        <v>1337</v>
      </c>
      <c r="B128" t="s">
        <v>101</v>
      </c>
      <c r="C128">
        <v>7</v>
      </c>
      <c r="D128">
        <v>10</v>
      </c>
      <c r="E128" t="s">
        <v>94</v>
      </c>
      <c r="F128" t="s">
        <v>90</v>
      </c>
      <c r="G128" t="s">
        <v>15</v>
      </c>
      <c r="H128" t="s">
        <v>91</v>
      </c>
      <c r="I128">
        <v>20</v>
      </c>
      <c r="J128">
        <v>0</v>
      </c>
      <c r="K128">
        <v>7</v>
      </c>
      <c r="L128" t="s">
        <v>92</v>
      </c>
      <c r="M128">
        <v>18</v>
      </c>
      <c r="N128">
        <v>1</v>
      </c>
      <c r="O128" t="s">
        <v>15</v>
      </c>
      <c r="P128">
        <v>1</v>
      </c>
      <c r="Q128" t="s">
        <v>90</v>
      </c>
      <c r="R128" t="s">
        <v>102</v>
      </c>
    </row>
    <row r="129" spans="1:18">
      <c r="A129">
        <v>1338</v>
      </c>
      <c r="B129" t="s">
        <v>101</v>
      </c>
      <c r="C129">
        <v>8</v>
      </c>
      <c r="D129">
        <v>10</v>
      </c>
      <c r="E129" t="s">
        <v>94</v>
      </c>
      <c r="F129" t="s">
        <v>90</v>
      </c>
      <c r="G129" t="s">
        <v>15</v>
      </c>
      <c r="H129" t="s">
        <v>91</v>
      </c>
      <c r="I129">
        <v>20</v>
      </c>
      <c r="J129">
        <v>0</v>
      </c>
      <c r="K129">
        <v>7</v>
      </c>
      <c r="L129" t="s">
        <v>92</v>
      </c>
      <c r="M129">
        <v>18</v>
      </c>
      <c r="N129">
        <v>1</v>
      </c>
      <c r="O129" t="s">
        <v>15</v>
      </c>
      <c r="P129">
        <v>1</v>
      </c>
      <c r="Q129" t="s">
        <v>90</v>
      </c>
      <c r="R129" t="s">
        <v>102</v>
      </c>
    </row>
    <row r="130" spans="1:18">
      <c r="A130">
        <v>1339</v>
      </c>
      <c r="B130" t="s">
        <v>101</v>
      </c>
      <c r="C130">
        <v>9</v>
      </c>
      <c r="D130">
        <v>10</v>
      </c>
      <c r="E130" t="s">
        <v>94</v>
      </c>
      <c r="F130" t="s">
        <v>90</v>
      </c>
      <c r="G130" t="s">
        <v>15</v>
      </c>
      <c r="H130" t="s">
        <v>91</v>
      </c>
      <c r="I130">
        <v>20</v>
      </c>
      <c r="J130">
        <v>0</v>
      </c>
      <c r="K130">
        <v>7</v>
      </c>
      <c r="L130" t="s">
        <v>92</v>
      </c>
      <c r="M130">
        <v>18</v>
      </c>
      <c r="N130">
        <v>1</v>
      </c>
      <c r="O130" t="s">
        <v>15</v>
      </c>
      <c r="P130">
        <v>1</v>
      </c>
      <c r="Q130" t="s">
        <v>90</v>
      </c>
      <c r="R130" t="s">
        <v>102</v>
      </c>
    </row>
    <row r="131" spans="1:18">
      <c r="A131">
        <v>1340</v>
      </c>
      <c r="B131" t="s">
        <v>101</v>
      </c>
      <c r="C131">
        <v>10</v>
      </c>
      <c r="D131">
        <v>9</v>
      </c>
      <c r="E131" t="s">
        <v>89</v>
      </c>
      <c r="F131" t="s">
        <v>90</v>
      </c>
      <c r="G131" t="s">
        <v>15</v>
      </c>
      <c r="H131" t="s">
        <v>91</v>
      </c>
      <c r="I131">
        <v>20</v>
      </c>
      <c r="J131">
        <v>0</v>
      </c>
      <c r="K131">
        <v>7</v>
      </c>
      <c r="L131" t="s">
        <v>92</v>
      </c>
      <c r="M131">
        <v>18</v>
      </c>
      <c r="N131">
        <v>1</v>
      </c>
      <c r="O131" t="s">
        <v>15</v>
      </c>
      <c r="P131">
        <v>1</v>
      </c>
      <c r="Q131" t="s">
        <v>90</v>
      </c>
      <c r="R131" t="s">
        <v>102</v>
      </c>
    </row>
    <row r="132" spans="1:18">
      <c r="A132">
        <v>1341</v>
      </c>
      <c r="B132" t="s">
        <v>101</v>
      </c>
      <c r="C132">
        <v>11</v>
      </c>
      <c r="D132">
        <v>11</v>
      </c>
      <c r="E132" t="s">
        <v>95</v>
      </c>
      <c r="F132" t="s">
        <v>90</v>
      </c>
      <c r="G132" t="s">
        <v>15</v>
      </c>
      <c r="H132" t="s">
        <v>91</v>
      </c>
      <c r="I132">
        <v>20</v>
      </c>
      <c r="J132">
        <v>10</v>
      </c>
      <c r="K132">
        <v>7</v>
      </c>
      <c r="L132" t="s">
        <v>92</v>
      </c>
      <c r="M132">
        <v>18</v>
      </c>
      <c r="N132">
        <v>1</v>
      </c>
      <c r="O132" t="s">
        <v>15</v>
      </c>
      <c r="P132">
        <v>1</v>
      </c>
      <c r="Q132" t="s">
        <v>90</v>
      </c>
      <c r="R132" t="s">
        <v>102</v>
      </c>
    </row>
    <row r="133" spans="1:18">
      <c r="A133">
        <v>1342</v>
      </c>
      <c r="B133" t="s">
        <v>101</v>
      </c>
      <c r="C133">
        <v>12</v>
      </c>
      <c r="D133">
        <v>11</v>
      </c>
      <c r="E133" t="s">
        <v>95</v>
      </c>
      <c r="F133" t="s">
        <v>90</v>
      </c>
      <c r="G133" t="s">
        <v>15</v>
      </c>
      <c r="H133" t="s">
        <v>91</v>
      </c>
      <c r="I133">
        <v>20</v>
      </c>
      <c r="J133">
        <v>0</v>
      </c>
      <c r="K133">
        <v>7</v>
      </c>
      <c r="L133" t="s">
        <v>92</v>
      </c>
      <c r="M133">
        <v>18</v>
      </c>
      <c r="N133">
        <v>1</v>
      </c>
      <c r="O133" t="s">
        <v>15</v>
      </c>
      <c r="P133">
        <v>1</v>
      </c>
      <c r="Q133" t="s">
        <v>90</v>
      </c>
      <c r="R133" t="s">
        <v>102</v>
      </c>
    </row>
    <row r="134" spans="1:18">
      <c r="A134">
        <v>1343</v>
      </c>
      <c r="B134" t="s">
        <v>101</v>
      </c>
      <c r="C134">
        <v>13</v>
      </c>
      <c r="D134">
        <v>11</v>
      </c>
      <c r="E134" t="s">
        <v>95</v>
      </c>
      <c r="F134" t="s">
        <v>90</v>
      </c>
      <c r="G134" t="s">
        <v>15</v>
      </c>
      <c r="H134" t="s">
        <v>91</v>
      </c>
      <c r="I134">
        <v>20</v>
      </c>
      <c r="J134">
        <v>0</v>
      </c>
      <c r="K134">
        <v>7</v>
      </c>
      <c r="L134" t="s">
        <v>92</v>
      </c>
      <c r="M134">
        <v>18</v>
      </c>
      <c r="N134">
        <v>1</v>
      </c>
      <c r="O134" t="s">
        <v>15</v>
      </c>
      <c r="P134">
        <v>1</v>
      </c>
      <c r="Q134" t="s">
        <v>90</v>
      </c>
      <c r="R134" t="s">
        <v>102</v>
      </c>
    </row>
    <row r="135" spans="1:18">
      <c r="A135">
        <v>1344</v>
      </c>
      <c r="B135" t="s">
        <v>101</v>
      </c>
      <c r="C135">
        <v>14</v>
      </c>
      <c r="D135">
        <v>11</v>
      </c>
      <c r="E135" t="s">
        <v>95</v>
      </c>
      <c r="F135" t="s">
        <v>90</v>
      </c>
      <c r="G135" t="s">
        <v>15</v>
      </c>
      <c r="H135" t="s">
        <v>91</v>
      </c>
      <c r="I135">
        <v>20</v>
      </c>
      <c r="J135">
        <v>0</v>
      </c>
      <c r="K135">
        <v>7</v>
      </c>
      <c r="L135" t="s">
        <v>92</v>
      </c>
      <c r="M135">
        <v>18</v>
      </c>
      <c r="N135">
        <v>1</v>
      </c>
      <c r="O135" t="s">
        <v>15</v>
      </c>
      <c r="P135">
        <v>1</v>
      </c>
      <c r="Q135" t="s">
        <v>90</v>
      </c>
      <c r="R135" t="s">
        <v>102</v>
      </c>
    </row>
    <row r="136" spans="1:18">
      <c r="A136">
        <v>1345</v>
      </c>
      <c r="B136" t="s">
        <v>101</v>
      </c>
      <c r="C136">
        <v>15</v>
      </c>
      <c r="D136">
        <v>11</v>
      </c>
      <c r="E136" t="s">
        <v>95</v>
      </c>
      <c r="F136" t="s">
        <v>90</v>
      </c>
      <c r="G136" t="s">
        <v>15</v>
      </c>
      <c r="H136" t="s">
        <v>91</v>
      </c>
      <c r="I136">
        <v>20</v>
      </c>
      <c r="J136">
        <v>0</v>
      </c>
      <c r="K136">
        <v>7</v>
      </c>
      <c r="L136" t="s">
        <v>92</v>
      </c>
      <c r="M136">
        <v>18</v>
      </c>
      <c r="N136">
        <v>1</v>
      </c>
      <c r="O136" t="s">
        <v>15</v>
      </c>
      <c r="P136">
        <v>1</v>
      </c>
      <c r="Q136" t="s">
        <v>90</v>
      </c>
      <c r="R136" t="s">
        <v>102</v>
      </c>
    </row>
    <row r="137" spans="1:18">
      <c r="A137">
        <v>1346</v>
      </c>
      <c r="B137" t="s">
        <v>101</v>
      </c>
      <c r="C137">
        <v>16</v>
      </c>
      <c r="D137">
        <v>11</v>
      </c>
      <c r="E137" t="s">
        <v>95</v>
      </c>
      <c r="F137" t="s">
        <v>90</v>
      </c>
      <c r="G137" t="s">
        <v>15</v>
      </c>
      <c r="H137" t="s">
        <v>91</v>
      </c>
      <c r="I137">
        <v>20</v>
      </c>
      <c r="J137">
        <v>0</v>
      </c>
      <c r="K137">
        <v>7</v>
      </c>
      <c r="L137" t="s">
        <v>92</v>
      </c>
      <c r="M137">
        <v>18</v>
      </c>
      <c r="N137">
        <v>1</v>
      </c>
      <c r="O137" t="s">
        <v>15</v>
      </c>
      <c r="P137">
        <v>1</v>
      </c>
      <c r="Q137" t="s">
        <v>90</v>
      </c>
      <c r="R137" t="s">
        <v>102</v>
      </c>
    </row>
    <row r="138" spans="1:18">
      <c r="A138">
        <v>1347</v>
      </c>
      <c r="B138" t="s">
        <v>101</v>
      </c>
      <c r="C138">
        <v>17</v>
      </c>
      <c r="D138">
        <v>11</v>
      </c>
      <c r="E138" t="s">
        <v>95</v>
      </c>
      <c r="F138" t="s">
        <v>90</v>
      </c>
      <c r="G138" t="s">
        <v>15</v>
      </c>
      <c r="H138" t="s">
        <v>91</v>
      </c>
      <c r="I138">
        <v>20</v>
      </c>
      <c r="J138">
        <v>0</v>
      </c>
      <c r="K138">
        <v>7</v>
      </c>
      <c r="L138" t="s">
        <v>92</v>
      </c>
      <c r="M138">
        <v>18</v>
      </c>
      <c r="N138">
        <v>1</v>
      </c>
      <c r="O138" t="s">
        <v>15</v>
      </c>
      <c r="P138">
        <v>1</v>
      </c>
      <c r="Q138" t="s">
        <v>90</v>
      </c>
      <c r="R138" t="s">
        <v>102</v>
      </c>
    </row>
    <row r="139" spans="1:18">
      <c r="A139">
        <v>1348</v>
      </c>
      <c r="B139" t="s">
        <v>101</v>
      </c>
      <c r="C139">
        <v>18</v>
      </c>
      <c r="D139">
        <v>11</v>
      </c>
      <c r="E139" t="s">
        <v>95</v>
      </c>
      <c r="F139" t="s">
        <v>90</v>
      </c>
      <c r="G139" t="s">
        <v>15</v>
      </c>
      <c r="H139" t="s">
        <v>91</v>
      </c>
      <c r="I139">
        <v>20</v>
      </c>
      <c r="J139">
        <v>0</v>
      </c>
      <c r="K139">
        <v>7</v>
      </c>
      <c r="L139" t="s">
        <v>92</v>
      </c>
      <c r="M139">
        <v>18</v>
      </c>
      <c r="N139">
        <v>1</v>
      </c>
      <c r="O139" t="s">
        <v>15</v>
      </c>
      <c r="P139">
        <v>1</v>
      </c>
      <c r="Q139" t="s">
        <v>90</v>
      </c>
      <c r="R139" t="s">
        <v>102</v>
      </c>
    </row>
    <row r="140" spans="1:18">
      <c r="A140">
        <v>1349</v>
      </c>
      <c r="B140" t="s">
        <v>101</v>
      </c>
      <c r="C140">
        <v>19</v>
      </c>
      <c r="D140">
        <v>11</v>
      </c>
      <c r="E140" t="s">
        <v>95</v>
      </c>
      <c r="F140" t="s">
        <v>90</v>
      </c>
      <c r="G140" t="s">
        <v>15</v>
      </c>
      <c r="H140" t="s">
        <v>91</v>
      </c>
      <c r="I140">
        <v>20</v>
      </c>
      <c r="J140">
        <v>0</v>
      </c>
      <c r="K140">
        <v>7</v>
      </c>
      <c r="L140" t="s">
        <v>92</v>
      </c>
      <c r="M140">
        <v>18</v>
      </c>
      <c r="N140">
        <v>1</v>
      </c>
      <c r="O140" t="s">
        <v>15</v>
      </c>
      <c r="P140">
        <v>1</v>
      </c>
      <c r="Q140" t="s">
        <v>90</v>
      </c>
      <c r="R140" t="s">
        <v>102</v>
      </c>
    </row>
    <row r="141" spans="1:18">
      <c r="A141">
        <v>1350</v>
      </c>
      <c r="B141" t="s">
        <v>101</v>
      </c>
      <c r="C141">
        <v>20</v>
      </c>
      <c r="D141">
        <v>11</v>
      </c>
      <c r="E141" t="s">
        <v>95</v>
      </c>
      <c r="F141" t="s">
        <v>90</v>
      </c>
      <c r="G141" t="s">
        <v>15</v>
      </c>
      <c r="H141" t="s">
        <v>91</v>
      </c>
      <c r="I141">
        <v>20</v>
      </c>
      <c r="J141">
        <v>0</v>
      </c>
      <c r="K141">
        <v>7</v>
      </c>
      <c r="L141" t="s">
        <v>92</v>
      </c>
      <c r="M141">
        <v>18</v>
      </c>
      <c r="N141">
        <v>1</v>
      </c>
      <c r="O141" t="s">
        <v>15</v>
      </c>
      <c r="P141">
        <v>1</v>
      </c>
      <c r="Q141" t="s">
        <v>90</v>
      </c>
      <c r="R141" t="s">
        <v>102</v>
      </c>
    </row>
    <row r="142" spans="1:18">
      <c r="A142">
        <v>1351</v>
      </c>
      <c r="B142" t="s">
        <v>101</v>
      </c>
      <c r="C142">
        <v>21</v>
      </c>
      <c r="D142">
        <v>9</v>
      </c>
      <c r="E142" t="s">
        <v>89</v>
      </c>
      <c r="F142" t="s">
        <v>90</v>
      </c>
      <c r="G142" t="s">
        <v>15</v>
      </c>
      <c r="H142" t="s">
        <v>91</v>
      </c>
      <c r="I142">
        <v>20</v>
      </c>
      <c r="J142">
        <v>0</v>
      </c>
      <c r="K142">
        <v>7</v>
      </c>
      <c r="L142" t="s">
        <v>92</v>
      </c>
      <c r="M142">
        <v>18</v>
      </c>
      <c r="N142">
        <v>1</v>
      </c>
      <c r="O142" t="s">
        <v>15</v>
      </c>
      <c r="P142">
        <v>1</v>
      </c>
      <c r="Q142" t="s">
        <v>90</v>
      </c>
      <c r="R142" t="s">
        <v>102</v>
      </c>
    </row>
    <row r="143" spans="1:18">
      <c r="A143">
        <v>1352</v>
      </c>
      <c r="B143" t="s">
        <v>101</v>
      </c>
      <c r="C143">
        <v>22</v>
      </c>
      <c r="D143">
        <v>10</v>
      </c>
      <c r="E143" t="s">
        <v>94</v>
      </c>
      <c r="F143" t="s">
        <v>90</v>
      </c>
      <c r="G143" t="s">
        <v>15</v>
      </c>
      <c r="H143" t="s">
        <v>91</v>
      </c>
      <c r="I143">
        <v>20</v>
      </c>
      <c r="J143">
        <v>0</v>
      </c>
      <c r="K143">
        <v>7</v>
      </c>
      <c r="L143" t="s">
        <v>92</v>
      </c>
      <c r="M143">
        <v>18</v>
      </c>
      <c r="N143">
        <v>1</v>
      </c>
      <c r="O143" t="s">
        <v>15</v>
      </c>
      <c r="P143">
        <v>1</v>
      </c>
      <c r="Q143" t="s">
        <v>90</v>
      </c>
      <c r="R143" t="s">
        <v>102</v>
      </c>
    </row>
    <row r="144" spans="1:18">
      <c r="A144">
        <v>1353</v>
      </c>
      <c r="B144" t="s">
        <v>101</v>
      </c>
      <c r="C144">
        <v>23</v>
      </c>
      <c r="D144">
        <v>9</v>
      </c>
      <c r="E144" t="s">
        <v>89</v>
      </c>
      <c r="F144" t="s">
        <v>90</v>
      </c>
      <c r="G144" t="s">
        <v>15</v>
      </c>
      <c r="H144" t="s">
        <v>91</v>
      </c>
      <c r="I144">
        <v>20</v>
      </c>
      <c r="J144">
        <v>0</v>
      </c>
      <c r="K144">
        <v>7</v>
      </c>
      <c r="L144" t="s">
        <v>92</v>
      </c>
      <c r="M144">
        <v>18</v>
      </c>
      <c r="N144">
        <v>1</v>
      </c>
      <c r="O144" t="s">
        <v>15</v>
      </c>
      <c r="P144">
        <v>1</v>
      </c>
      <c r="Q144" t="s">
        <v>90</v>
      </c>
      <c r="R144" t="s">
        <v>102</v>
      </c>
    </row>
    <row r="145" spans="1:18">
      <c r="A145">
        <v>1354</v>
      </c>
      <c r="B145" t="s">
        <v>101</v>
      </c>
      <c r="C145">
        <v>24</v>
      </c>
      <c r="D145">
        <v>10</v>
      </c>
      <c r="E145" t="s">
        <v>94</v>
      </c>
      <c r="F145" t="s">
        <v>90</v>
      </c>
      <c r="G145" t="s">
        <v>15</v>
      </c>
      <c r="H145" t="s">
        <v>91</v>
      </c>
      <c r="I145">
        <v>20</v>
      </c>
      <c r="J145">
        <v>0</v>
      </c>
      <c r="K145">
        <v>7</v>
      </c>
      <c r="L145" t="s">
        <v>92</v>
      </c>
      <c r="M145">
        <v>18</v>
      </c>
      <c r="N145">
        <v>1</v>
      </c>
      <c r="O145" t="s">
        <v>15</v>
      </c>
      <c r="P145">
        <v>1</v>
      </c>
      <c r="Q145" t="s">
        <v>90</v>
      </c>
      <c r="R145" t="s">
        <v>102</v>
      </c>
    </row>
    <row r="146" spans="1:18">
      <c r="A146">
        <v>1355</v>
      </c>
      <c r="B146" t="s">
        <v>101</v>
      </c>
      <c r="C146">
        <v>25</v>
      </c>
      <c r="D146">
        <v>9</v>
      </c>
      <c r="E146" t="s">
        <v>89</v>
      </c>
      <c r="F146" t="s">
        <v>90</v>
      </c>
      <c r="G146" t="s">
        <v>15</v>
      </c>
      <c r="H146" t="s">
        <v>91</v>
      </c>
      <c r="I146">
        <v>20</v>
      </c>
      <c r="J146">
        <v>0</v>
      </c>
      <c r="K146">
        <v>7</v>
      </c>
      <c r="L146" t="s">
        <v>92</v>
      </c>
      <c r="M146">
        <v>18</v>
      </c>
      <c r="N146">
        <v>1</v>
      </c>
      <c r="O146" t="s">
        <v>15</v>
      </c>
      <c r="P146">
        <v>1</v>
      </c>
      <c r="Q146" t="s">
        <v>90</v>
      </c>
      <c r="R146" t="s">
        <v>102</v>
      </c>
    </row>
    <row r="147" spans="1:18">
      <c r="A147">
        <v>1356</v>
      </c>
      <c r="B147" t="s">
        <v>101</v>
      </c>
      <c r="C147">
        <v>26</v>
      </c>
      <c r="D147">
        <v>10</v>
      </c>
      <c r="E147" t="s">
        <v>94</v>
      </c>
      <c r="F147" t="s">
        <v>90</v>
      </c>
      <c r="G147" t="s">
        <v>15</v>
      </c>
      <c r="H147" t="s">
        <v>91</v>
      </c>
      <c r="I147">
        <v>20</v>
      </c>
      <c r="J147">
        <v>0</v>
      </c>
      <c r="K147">
        <v>7</v>
      </c>
      <c r="L147" t="s">
        <v>92</v>
      </c>
      <c r="M147">
        <v>18</v>
      </c>
      <c r="N147">
        <v>1</v>
      </c>
      <c r="O147" t="s">
        <v>15</v>
      </c>
      <c r="P147">
        <v>1</v>
      </c>
      <c r="Q147" t="s">
        <v>90</v>
      </c>
      <c r="R147" t="s">
        <v>102</v>
      </c>
    </row>
    <row r="148" spans="1:18">
      <c r="A148">
        <v>1357</v>
      </c>
      <c r="B148" t="s">
        <v>101</v>
      </c>
      <c r="C148">
        <v>27</v>
      </c>
      <c r="D148">
        <v>9</v>
      </c>
      <c r="E148" t="s">
        <v>89</v>
      </c>
      <c r="F148" t="s">
        <v>90</v>
      </c>
      <c r="G148" t="s">
        <v>15</v>
      </c>
      <c r="H148" t="s">
        <v>91</v>
      </c>
      <c r="I148">
        <v>20</v>
      </c>
      <c r="J148">
        <v>0</v>
      </c>
      <c r="K148">
        <v>7</v>
      </c>
      <c r="L148" t="s">
        <v>92</v>
      </c>
      <c r="M148">
        <v>18</v>
      </c>
      <c r="N148">
        <v>1</v>
      </c>
      <c r="O148" t="s">
        <v>15</v>
      </c>
      <c r="P148">
        <v>1</v>
      </c>
      <c r="Q148" t="s">
        <v>90</v>
      </c>
      <c r="R148" t="s">
        <v>102</v>
      </c>
    </row>
    <row r="149" spans="1:18">
      <c r="A149">
        <v>1358</v>
      </c>
      <c r="B149" t="s">
        <v>101</v>
      </c>
      <c r="C149">
        <v>28</v>
      </c>
      <c r="D149">
        <v>10</v>
      </c>
      <c r="E149" t="s">
        <v>94</v>
      </c>
      <c r="F149" t="s">
        <v>90</v>
      </c>
      <c r="G149" t="s">
        <v>15</v>
      </c>
      <c r="H149" t="s">
        <v>91</v>
      </c>
      <c r="I149">
        <v>20</v>
      </c>
      <c r="J149">
        <v>0</v>
      </c>
      <c r="K149">
        <v>7</v>
      </c>
      <c r="L149" t="s">
        <v>92</v>
      </c>
      <c r="M149">
        <v>18</v>
      </c>
      <c r="N149">
        <v>1</v>
      </c>
      <c r="O149" t="s">
        <v>15</v>
      </c>
      <c r="P149">
        <v>1</v>
      </c>
      <c r="Q149" t="s">
        <v>90</v>
      </c>
      <c r="R149" t="s">
        <v>102</v>
      </c>
    </row>
    <row r="150" spans="1:18">
      <c r="A150">
        <v>1359</v>
      </c>
      <c r="B150" t="s">
        <v>101</v>
      </c>
      <c r="C150">
        <v>29</v>
      </c>
      <c r="D150">
        <v>9</v>
      </c>
      <c r="E150" t="s">
        <v>89</v>
      </c>
      <c r="F150" t="s">
        <v>90</v>
      </c>
      <c r="G150" t="s">
        <v>15</v>
      </c>
      <c r="H150" t="s">
        <v>91</v>
      </c>
      <c r="I150">
        <v>20</v>
      </c>
      <c r="J150">
        <v>0</v>
      </c>
      <c r="K150">
        <v>7</v>
      </c>
      <c r="L150" t="s">
        <v>92</v>
      </c>
      <c r="M150">
        <v>18</v>
      </c>
      <c r="N150">
        <v>1</v>
      </c>
      <c r="O150" t="s">
        <v>15</v>
      </c>
      <c r="P150">
        <v>1</v>
      </c>
      <c r="Q150" t="s">
        <v>90</v>
      </c>
      <c r="R150" t="s">
        <v>102</v>
      </c>
    </row>
    <row r="151" spans="1:18">
      <c r="A151">
        <v>1360</v>
      </c>
      <c r="B151" t="s">
        <v>101</v>
      </c>
      <c r="C151">
        <v>30</v>
      </c>
      <c r="D151">
        <v>10</v>
      </c>
      <c r="E151" t="s">
        <v>94</v>
      </c>
      <c r="F151" t="s">
        <v>90</v>
      </c>
      <c r="G151" t="s">
        <v>15</v>
      </c>
      <c r="H151" t="s">
        <v>91</v>
      </c>
      <c r="I151">
        <v>20</v>
      </c>
      <c r="J151">
        <v>0</v>
      </c>
      <c r="K151">
        <v>7</v>
      </c>
      <c r="L151" t="s">
        <v>92</v>
      </c>
      <c r="M151">
        <v>18</v>
      </c>
      <c r="N151">
        <v>1</v>
      </c>
      <c r="O151" t="s">
        <v>15</v>
      </c>
      <c r="P151">
        <v>1</v>
      </c>
      <c r="Q151" t="s">
        <v>90</v>
      </c>
      <c r="R151" t="s">
        <v>102</v>
      </c>
    </row>
    <row r="152" spans="1:18">
      <c r="A152">
        <v>1361</v>
      </c>
      <c r="B152" t="s">
        <v>101</v>
      </c>
      <c r="C152">
        <v>31</v>
      </c>
      <c r="D152">
        <v>12</v>
      </c>
      <c r="E152" t="s">
        <v>96</v>
      </c>
      <c r="F152" t="s">
        <v>90</v>
      </c>
      <c r="G152" t="s">
        <v>15</v>
      </c>
      <c r="H152" t="s">
        <v>91</v>
      </c>
      <c r="I152">
        <v>20</v>
      </c>
      <c r="J152">
        <v>12</v>
      </c>
      <c r="K152">
        <v>7</v>
      </c>
      <c r="L152" t="s">
        <v>92</v>
      </c>
      <c r="M152">
        <v>18</v>
      </c>
      <c r="N152">
        <v>1</v>
      </c>
      <c r="O152" t="s">
        <v>15</v>
      </c>
      <c r="P152">
        <v>1</v>
      </c>
      <c r="Q152" t="s">
        <v>90</v>
      </c>
      <c r="R152" t="s">
        <v>102</v>
      </c>
    </row>
    <row r="153" spans="1:18">
      <c r="A153">
        <v>1362</v>
      </c>
      <c r="B153" t="s">
        <v>101</v>
      </c>
      <c r="C153">
        <v>32</v>
      </c>
      <c r="D153">
        <v>12</v>
      </c>
      <c r="E153" t="s">
        <v>96</v>
      </c>
      <c r="F153" t="s">
        <v>90</v>
      </c>
      <c r="G153" t="s">
        <v>15</v>
      </c>
      <c r="H153" t="s">
        <v>91</v>
      </c>
      <c r="I153">
        <v>20</v>
      </c>
      <c r="J153">
        <v>0</v>
      </c>
      <c r="K153">
        <v>7</v>
      </c>
      <c r="L153" t="s">
        <v>92</v>
      </c>
      <c r="M153">
        <v>18</v>
      </c>
      <c r="N153">
        <v>1</v>
      </c>
      <c r="O153" t="s">
        <v>15</v>
      </c>
      <c r="P153">
        <v>1</v>
      </c>
      <c r="Q153" t="s">
        <v>90</v>
      </c>
      <c r="R153" t="s">
        <v>102</v>
      </c>
    </row>
    <row r="154" spans="1:18">
      <c r="A154">
        <v>1363</v>
      </c>
      <c r="B154" t="s">
        <v>101</v>
      </c>
      <c r="C154">
        <v>33</v>
      </c>
      <c r="D154">
        <v>12</v>
      </c>
      <c r="E154" t="s">
        <v>96</v>
      </c>
      <c r="F154" t="s">
        <v>90</v>
      </c>
      <c r="G154" t="s">
        <v>15</v>
      </c>
      <c r="H154" t="s">
        <v>91</v>
      </c>
      <c r="I154">
        <v>20</v>
      </c>
      <c r="J154">
        <v>0</v>
      </c>
      <c r="K154">
        <v>7</v>
      </c>
      <c r="L154" t="s">
        <v>92</v>
      </c>
      <c r="M154">
        <v>18</v>
      </c>
      <c r="N154">
        <v>1</v>
      </c>
      <c r="O154" t="s">
        <v>15</v>
      </c>
      <c r="P154">
        <v>1</v>
      </c>
      <c r="Q154" t="s">
        <v>90</v>
      </c>
      <c r="R154" t="s">
        <v>102</v>
      </c>
    </row>
    <row r="155" spans="1:18">
      <c r="A155">
        <v>1364</v>
      </c>
      <c r="B155" t="s">
        <v>101</v>
      </c>
      <c r="C155">
        <v>34</v>
      </c>
      <c r="D155">
        <v>12</v>
      </c>
      <c r="E155" t="s">
        <v>96</v>
      </c>
      <c r="F155" t="s">
        <v>90</v>
      </c>
      <c r="G155" t="s">
        <v>15</v>
      </c>
      <c r="H155" t="s">
        <v>91</v>
      </c>
      <c r="I155">
        <v>20</v>
      </c>
      <c r="J155">
        <v>0</v>
      </c>
      <c r="K155">
        <v>7</v>
      </c>
      <c r="L155" t="s">
        <v>92</v>
      </c>
      <c r="M155">
        <v>18</v>
      </c>
      <c r="N155">
        <v>1</v>
      </c>
      <c r="O155" t="s">
        <v>15</v>
      </c>
      <c r="P155">
        <v>1</v>
      </c>
      <c r="Q155" t="s">
        <v>90</v>
      </c>
      <c r="R155" t="s">
        <v>102</v>
      </c>
    </row>
    <row r="156" spans="1:18">
      <c r="A156">
        <v>1365</v>
      </c>
      <c r="B156" t="s">
        <v>101</v>
      </c>
      <c r="C156">
        <v>35</v>
      </c>
      <c r="D156">
        <v>12</v>
      </c>
      <c r="E156" t="s">
        <v>96</v>
      </c>
      <c r="F156" t="s">
        <v>90</v>
      </c>
      <c r="G156" t="s">
        <v>15</v>
      </c>
      <c r="H156" t="s">
        <v>91</v>
      </c>
      <c r="I156">
        <v>20</v>
      </c>
      <c r="J156">
        <v>0</v>
      </c>
      <c r="K156">
        <v>7</v>
      </c>
      <c r="L156" t="s">
        <v>92</v>
      </c>
      <c r="M156">
        <v>18</v>
      </c>
      <c r="N156">
        <v>1</v>
      </c>
      <c r="O156" t="s">
        <v>15</v>
      </c>
      <c r="P156">
        <v>1</v>
      </c>
      <c r="Q156" t="s">
        <v>90</v>
      </c>
      <c r="R156" t="s">
        <v>102</v>
      </c>
    </row>
    <row r="157" spans="1:18">
      <c r="A157">
        <v>1366</v>
      </c>
      <c r="B157" t="s">
        <v>101</v>
      </c>
      <c r="C157">
        <v>36</v>
      </c>
      <c r="D157">
        <v>12</v>
      </c>
      <c r="E157" t="s">
        <v>96</v>
      </c>
      <c r="F157" t="s">
        <v>90</v>
      </c>
      <c r="G157" t="s">
        <v>15</v>
      </c>
      <c r="H157" t="s">
        <v>91</v>
      </c>
      <c r="I157">
        <v>20</v>
      </c>
      <c r="J157">
        <v>0</v>
      </c>
      <c r="K157">
        <v>7</v>
      </c>
      <c r="L157" t="s">
        <v>92</v>
      </c>
      <c r="M157">
        <v>18</v>
      </c>
      <c r="N157">
        <v>1</v>
      </c>
      <c r="O157" t="s">
        <v>15</v>
      </c>
      <c r="P157">
        <v>1</v>
      </c>
      <c r="Q157" t="s">
        <v>90</v>
      </c>
      <c r="R157" t="s">
        <v>102</v>
      </c>
    </row>
    <row r="158" spans="1:18">
      <c r="A158">
        <v>1367</v>
      </c>
      <c r="B158" t="s">
        <v>101</v>
      </c>
      <c r="C158">
        <v>37</v>
      </c>
      <c r="D158">
        <v>12</v>
      </c>
      <c r="E158" t="s">
        <v>96</v>
      </c>
      <c r="F158" t="s">
        <v>90</v>
      </c>
      <c r="G158" t="s">
        <v>15</v>
      </c>
      <c r="H158" t="s">
        <v>91</v>
      </c>
      <c r="I158">
        <v>20</v>
      </c>
      <c r="J158">
        <v>0</v>
      </c>
      <c r="K158">
        <v>7</v>
      </c>
      <c r="L158" t="s">
        <v>92</v>
      </c>
      <c r="M158">
        <v>18</v>
      </c>
      <c r="N158">
        <v>1</v>
      </c>
      <c r="O158" t="s">
        <v>15</v>
      </c>
      <c r="P158">
        <v>1</v>
      </c>
      <c r="Q158" t="s">
        <v>90</v>
      </c>
      <c r="R158" t="s">
        <v>102</v>
      </c>
    </row>
    <row r="159" spans="1:18">
      <c r="A159">
        <v>1368</v>
      </c>
      <c r="B159" t="s">
        <v>101</v>
      </c>
      <c r="C159">
        <v>38</v>
      </c>
      <c r="D159">
        <v>12</v>
      </c>
      <c r="E159" t="s">
        <v>96</v>
      </c>
      <c r="F159" t="s">
        <v>90</v>
      </c>
      <c r="G159" t="s">
        <v>15</v>
      </c>
      <c r="H159" t="s">
        <v>91</v>
      </c>
      <c r="I159">
        <v>20</v>
      </c>
      <c r="J159">
        <v>0</v>
      </c>
      <c r="K159">
        <v>7</v>
      </c>
      <c r="L159" t="s">
        <v>92</v>
      </c>
      <c r="M159">
        <v>18</v>
      </c>
      <c r="N159">
        <v>1</v>
      </c>
      <c r="O159" t="s">
        <v>15</v>
      </c>
      <c r="P159">
        <v>1</v>
      </c>
      <c r="Q159" t="s">
        <v>90</v>
      </c>
      <c r="R159" t="s">
        <v>102</v>
      </c>
    </row>
    <row r="160" spans="1:18">
      <c r="A160">
        <v>1369</v>
      </c>
      <c r="B160" t="s">
        <v>101</v>
      </c>
      <c r="C160">
        <v>39</v>
      </c>
      <c r="D160">
        <v>12</v>
      </c>
      <c r="E160" t="s">
        <v>96</v>
      </c>
      <c r="F160" t="s">
        <v>90</v>
      </c>
      <c r="G160" t="s">
        <v>15</v>
      </c>
      <c r="H160" t="s">
        <v>91</v>
      </c>
      <c r="I160">
        <v>20</v>
      </c>
      <c r="J160">
        <v>0</v>
      </c>
      <c r="K160">
        <v>7</v>
      </c>
      <c r="L160" t="s">
        <v>92</v>
      </c>
      <c r="M160">
        <v>18</v>
      </c>
      <c r="N160">
        <v>1</v>
      </c>
      <c r="O160" t="s">
        <v>15</v>
      </c>
      <c r="P160">
        <v>1</v>
      </c>
      <c r="Q160" t="s">
        <v>90</v>
      </c>
      <c r="R160" t="s">
        <v>102</v>
      </c>
    </row>
    <row r="161" spans="1:18">
      <c r="A161">
        <v>1370</v>
      </c>
      <c r="B161" t="s">
        <v>101</v>
      </c>
      <c r="C161">
        <v>40</v>
      </c>
      <c r="D161">
        <v>12</v>
      </c>
      <c r="E161" t="s">
        <v>96</v>
      </c>
      <c r="F161" t="s">
        <v>90</v>
      </c>
      <c r="G161" t="s">
        <v>15</v>
      </c>
      <c r="H161" t="s">
        <v>91</v>
      </c>
      <c r="I161">
        <v>20</v>
      </c>
      <c r="J161">
        <v>0</v>
      </c>
      <c r="K161">
        <v>7</v>
      </c>
      <c r="L161" t="s">
        <v>92</v>
      </c>
      <c r="M161">
        <v>18</v>
      </c>
      <c r="N161">
        <v>1</v>
      </c>
      <c r="O161" t="s">
        <v>15</v>
      </c>
      <c r="P161">
        <v>1</v>
      </c>
      <c r="Q161" t="s">
        <v>90</v>
      </c>
      <c r="R161" t="s">
        <v>102</v>
      </c>
    </row>
    <row r="162" spans="1:18">
      <c r="A162">
        <v>1371</v>
      </c>
      <c r="B162" t="s">
        <v>103</v>
      </c>
      <c r="C162">
        <v>1</v>
      </c>
      <c r="D162">
        <v>9</v>
      </c>
      <c r="E162" t="s">
        <v>89</v>
      </c>
      <c r="F162" t="s">
        <v>90</v>
      </c>
      <c r="G162" t="s">
        <v>15</v>
      </c>
      <c r="H162" t="s">
        <v>91</v>
      </c>
      <c r="I162">
        <v>20</v>
      </c>
      <c r="J162">
        <v>12</v>
      </c>
      <c r="K162">
        <v>7</v>
      </c>
      <c r="L162" t="s">
        <v>92</v>
      </c>
      <c r="M162">
        <v>19</v>
      </c>
      <c r="N162">
        <v>1</v>
      </c>
      <c r="O162" t="s">
        <v>15</v>
      </c>
      <c r="P162">
        <v>1</v>
      </c>
      <c r="Q162" t="s">
        <v>90</v>
      </c>
      <c r="R162" t="s">
        <v>104</v>
      </c>
    </row>
    <row r="163" spans="1:18">
      <c r="A163">
        <v>1372</v>
      </c>
      <c r="B163" t="s">
        <v>103</v>
      </c>
      <c r="C163">
        <v>2</v>
      </c>
      <c r="D163">
        <v>10</v>
      </c>
      <c r="E163" t="s">
        <v>94</v>
      </c>
      <c r="F163" t="s">
        <v>90</v>
      </c>
      <c r="G163" t="s">
        <v>15</v>
      </c>
      <c r="H163" t="s">
        <v>91</v>
      </c>
      <c r="I163">
        <v>20</v>
      </c>
      <c r="J163">
        <v>13</v>
      </c>
      <c r="K163">
        <v>7</v>
      </c>
      <c r="L163" t="s">
        <v>92</v>
      </c>
      <c r="M163">
        <v>19</v>
      </c>
      <c r="N163">
        <v>1</v>
      </c>
      <c r="O163" t="s">
        <v>15</v>
      </c>
      <c r="P163">
        <v>1</v>
      </c>
      <c r="Q163" t="s">
        <v>90</v>
      </c>
      <c r="R163" t="s">
        <v>104</v>
      </c>
    </row>
    <row r="164" spans="1:18">
      <c r="A164">
        <v>1373</v>
      </c>
      <c r="B164" t="s">
        <v>103</v>
      </c>
      <c r="C164">
        <v>3</v>
      </c>
      <c r="D164">
        <v>9</v>
      </c>
      <c r="E164" t="s">
        <v>89</v>
      </c>
      <c r="F164" t="s">
        <v>90</v>
      </c>
      <c r="G164" t="s">
        <v>15</v>
      </c>
      <c r="H164" t="s">
        <v>91</v>
      </c>
      <c r="I164">
        <v>20</v>
      </c>
      <c r="J164">
        <v>0</v>
      </c>
      <c r="K164">
        <v>7</v>
      </c>
      <c r="L164" t="s">
        <v>92</v>
      </c>
      <c r="M164">
        <v>19</v>
      </c>
      <c r="N164">
        <v>1</v>
      </c>
      <c r="O164" t="s">
        <v>15</v>
      </c>
      <c r="P164">
        <v>1</v>
      </c>
      <c r="Q164" t="s">
        <v>90</v>
      </c>
      <c r="R164" t="s">
        <v>104</v>
      </c>
    </row>
    <row r="165" spans="1:18">
      <c r="A165">
        <v>1374</v>
      </c>
      <c r="B165" t="s">
        <v>103</v>
      </c>
      <c r="C165">
        <v>4</v>
      </c>
      <c r="D165">
        <v>9</v>
      </c>
      <c r="E165" t="s">
        <v>89</v>
      </c>
      <c r="F165" t="s">
        <v>90</v>
      </c>
      <c r="G165" t="s">
        <v>15</v>
      </c>
      <c r="H165" t="s">
        <v>91</v>
      </c>
      <c r="I165">
        <v>20</v>
      </c>
      <c r="J165">
        <v>0</v>
      </c>
      <c r="K165">
        <v>7</v>
      </c>
      <c r="L165" t="s">
        <v>92</v>
      </c>
      <c r="M165">
        <v>19</v>
      </c>
      <c r="N165">
        <v>1</v>
      </c>
      <c r="O165" t="s">
        <v>15</v>
      </c>
      <c r="P165">
        <v>1</v>
      </c>
      <c r="Q165" t="s">
        <v>90</v>
      </c>
      <c r="R165" t="s">
        <v>104</v>
      </c>
    </row>
    <row r="166" spans="1:18">
      <c r="A166">
        <v>1375</v>
      </c>
      <c r="B166" t="s">
        <v>103</v>
      </c>
      <c r="C166">
        <v>5</v>
      </c>
      <c r="D166">
        <v>9</v>
      </c>
      <c r="E166" t="s">
        <v>89</v>
      </c>
      <c r="F166" t="s">
        <v>90</v>
      </c>
      <c r="G166" t="s">
        <v>15</v>
      </c>
      <c r="H166" t="s">
        <v>91</v>
      </c>
      <c r="I166">
        <v>20</v>
      </c>
      <c r="J166">
        <v>0</v>
      </c>
      <c r="K166">
        <v>7</v>
      </c>
      <c r="L166" t="s">
        <v>92</v>
      </c>
      <c r="M166">
        <v>19</v>
      </c>
      <c r="N166">
        <v>1</v>
      </c>
      <c r="O166" t="s">
        <v>15</v>
      </c>
      <c r="P166">
        <v>1</v>
      </c>
      <c r="Q166" t="s">
        <v>90</v>
      </c>
      <c r="R166" t="s">
        <v>104</v>
      </c>
    </row>
    <row r="167" spans="1:18">
      <c r="A167">
        <v>1376</v>
      </c>
      <c r="B167" t="s">
        <v>103</v>
      </c>
      <c r="C167">
        <v>6</v>
      </c>
      <c r="D167">
        <v>10</v>
      </c>
      <c r="E167" t="s">
        <v>94</v>
      </c>
      <c r="F167" t="s">
        <v>90</v>
      </c>
      <c r="G167" t="s">
        <v>15</v>
      </c>
      <c r="H167" t="s">
        <v>91</v>
      </c>
      <c r="I167">
        <v>20</v>
      </c>
      <c r="J167">
        <v>0</v>
      </c>
      <c r="K167">
        <v>7</v>
      </c>
      <c r="L167" t="s">
        <v>92</v>
      </c>
      <c r="M167">
        <v>19</v>
      </c>
      <c r="N167">
        <v>1</v>
      </c>
      <c r="O167" t="s">
        <v>15</v>
      </c>
      <c r="P167">
        <v>1</v>
      </c>
      <c r="Q167" t="s">
        <v>90</v>
      </c>
      <c r="R167" t="s">
        <v>104</v>
      </c>
    </row>
    <row r="168" spans="1:18">
      <c r="A168">
        <v>1377</v>
      </c>
      <c r="B168" t="s">
        <v>103</v>
      </c>
      <c r="C168">
        <v>7</v>
      </c>
      <c r="D168">
        <v>10</v>
      </c>
      <c r="E168" t="s">
        <v>94</v>
      </c>
      <c r="F168" t="s">
        <v>90</v>
      </c>
      <c r="G168" t="s">
        <v>15</v>
      </c>
      <c r="H168" t="s">
        <v>91</v>
      </c>
      <c r="I168">
        <v>20</v>
      </c>
      <c r="J168">
        <v>0</v>
      </c>
      <c r="K168">
        <v>7</v>
      </c>
      <c r="L168" t="s">
        <v>92</v>
      </c>
      <c r="M168">
        <v>19</v>
      </c>
      <c r="N168">
        <v>1</v>
      </c>
      <c r="O168" t="s">
        <v>15</v>
      </c>
      <c r="P168">
        <v>1</v>
      </c>
      <c r="Q168" t="s">
        <v>90</v>
      </c>
      <c r="R168" t="s">
        <v>104</v>
      </c>
    </row>
    <row r="169" spans="1:18">
      <c r="A169">
        <v>1378</v>
      </c>
      <c r="B169" t="s">
        <v>103</v>
      </c>
      <c r="C169">
        <v>8</v>
      </c>
      <c r="D169">
        <v>10</v>
      </c>
      <c r="E169" t="s">
        <v>94</v>
      </c>
      <c r="F169" t="s">
        <v>90</v>
      </c>
      <c r="G169" t="s">
        <v>15</v>
      </c>
      <c r="H169" t="s">
        <v>91</v>
      </c>
      <c r="I169">
        <v>20</v>
      </c>
      <c r="J169">
        <v>0</v>
      </c>
      <c r="K169">
        <v>7</v>
      </c>
      <c r="L169" t="s">
        <v>92</v>
      </c>
      <c r="M169">
        <v>19</v>
      </c>
      <c r="N169">
        <v>1</v>
      </c>
      <c r="O169" t="s">
        <v>15</v>
      </c>
      <c r="P169">
        <v>1</v>
      </c>
      <c r="Q169" t="s">
        <v>90</v>
      </c>
      <c r="R169" t="s">
        <v>104</v>
      </c>
    </row>
    <row r="170" spans="1:18">
      <c r="A170">
        <v>1379</v>
      </c>
      <c r="B170" t="s">
        <v>103</v>
      </c>
      <c r="C170">
        <v>9</v>
      </c>
      <c r="D170">
        <v>10</v>
      </c>
      <c r="E170" t="s">
        <v>94</v>
      </c>
      <c r="F170" t="s">
        <v>90</v>
      </c>
      <c r="G170" t="s">
        <v>15</v>
      </c>
      <c r="H170" t="s">
        <v>91</v>
      </c>
      <c r="I170">
        <v>20</v>
      </c>
      <c r="J170">
        <v>0</v>
      </c>
      <c r="K170">
        <v>7</v>
      </c>
      <c r="L170" t="s">
        <v>92</v>
      </c>
      <c r="M170">
        <v>19</v>
      </c>
      <c r="N170">
        <v>1</v>
      </c>
      <c r="O170" t="s">
        <v>15</v>
      </c>
      <c r="P170">
        <v>1</v>
      </c>
      <c r="Q170" t="s">
        <v>90</v>
      </c>
      <c r="R170" t="s">
        <v>104</v>
      </c>
    </row>
    <row r="171" spans="1:18">
      <c r="A171">
        <v>1380</v>
      </c>
      <c r="B171" t="s">
        <v>103</v>
      </c>
      <c r="C171">
        <v>10</v>
      </c>
      <c r="D171">
        <v>9</v>
      </c>
      <c r="E171" t="s">
        <v>89</v>
      </c>
      <c r="F171" t="s">
        <v>90</v>
      </c>
      <c r="G171" t="s">
        <v>15</v>
      </c>
      <c r="H171" t="s">
        <v>91</v>
      </c>
      <c r="I171">
        <v>20</v>
      </c>
      <c r="J171">
        <v>0</v>
      </c>
      <c r="K171">
        <v>7</v>
      </c>
      <c r="L171" t="s">
        <v>92</v>
      </c>
      <c r="M171">
        <v>19</v>
      </c>
      <c r="N171">
        <v>1</v>
      </c>
      <c r="O171" t="s">
        <v>15</v>
      </c>
      <c r="P171">
        <v>1</v>
      </c>
      <c r="Q171" t="s">
        <v>90</v>
      </c>
      <c r="R171" t="s">
        <v>104</v>
      </c>
    </row>
    <row r="172" spans="1:18">
      <c r="A172">
        <v>1381</v>
      </c>
      <c r="B172" t="s">
        <v>103</v>
      </c>
      <c r="C172">
        <v>11</v>
      </c>
      <c r="D172">
        <v>11</v>
      </c>
      <c r="E172" t="s">
        <v>95</v>
      </c>
      <c r="F172" t="s">
        <v>90</v>
      </c>
      <c r="G172" t="s">
        <v>15</v>
      </c>
      <c r="H172" t="s">
        <v>91</v>
      </c>
      <c r="I172">
        <v>20</v>
      </c>
      <c r="J172">
        <v>16</v>
      </c>
      <c r="K172">
        <v>7</v>
      </c>
      <c r="L172" t="s">
        <v>92</v>
      </c>
      <c r="M172">
        <v>19</v>
      </c>
      <c r="N172">
        <v>1</v>
      </c>
      <c r="O172" t="s">
        <v>15</v>
      </c>
      <c r="P172">
        <v>1</v>
      </c>
      <c r="Q172" t="s">
        <v>90</v>
      </c>
      <c r="R172" t="s">
        <v>104</v>
      </c>
    </row>
    <row r="173" spans="1:18">
      <c r="A173">
        <v>1382</v>
      </c>
      <c r="B173" t="s">
        <v>103</v>
      </c>
      <c r="C173">
        <v>12</v>
      </c>
      <c r="D173">
        <v>11</v>
      </c>
      <c r="E173" t="s">
        <v>95</v>
      </c>
      <c r="F173" t="s">
        <v>90</v>
      </c>
      <c r="G173" t="s">
        <v>15</v>
      </c>
      <c r="H173" t="s">
        <v>91</v>
      </c>
      <c r="I173">
        <v>20</v>
      </c>
      <c r="J173">
        <v>0</v>
      </c>
      <c r="K173">
        <v>7</v>
      </c>
      <c r="L173" t="s">
        <v>92</v>
      </c>
      <c r="M173">
        <v>19</v>
      </c>
      <c r="N173">
        <v>1</v>
      </c>
      <c r="O173" t="s">
        <v>15</v>
      </c>
      <c r="P173">
        <v>1</v>
      </c>
      <c r="Q173" t="s">
        <v>90</v>
      </c>
      <c r="R173" t="s">
        <v>104</v>
      </c>
    </row>
    <row r="174" spans="1:18">
      <c r="A174">
        <v>1383</v>
      </c>
      <c r="B174" t="s">
        <v>103</v>
      </c>
      <c r="C174">
        <v>13</v>
      </c>
      <c r="D174">
        <v>11</v>
      </c>
      <c r="E174" t="s">
        <v>95</v>
      </c>
      <c r="F174" t="s">
        <v>90</v>
      </c>
      <c r="G174" t="s">
        <v>15</v>
      </c>
      <c r="H174" t="s">
        <v>91</v>
      </c>
      <c r="I174">
        <v>20</v>
      </c>
      <c r="J174">
        <v>0</v>
      </c>
      <c r="K174">
        <v>7</v>
      </c>
      <c r="L174" t="s">
        <v>92</v>
      </c>
      <c r="M174">
        <v>19</v>
      </c>
      <c r="N174">
        <v>1</v>
      </c>
      <c r="O174" t="s">
        <v>15</v>
      </c>
      <c r="P174">
        <v>1</v>
      </c>
      <c r="Q174" t="s">
        <v>90</v>
      </c>
      <c r="R174" t="s">
        <v>104</v>
      </c>
    </row>
    <row r="175" spans="1:18">
      <c r="A175">
        <v>1384</v>
      </c>
      <c r="B175" t="s">
        <v>103</v>
      </c>
      <c r="C175">
        <v>14</v>
      </c>
      <c r="D175">
        <v>11</v>
      </c>
      <c r="E175" t="s">
        <v>95</v>
      </c>
      <c r="F175" t="s">
        <v>90</v>
      </c>
      <c r="G175" t="s">
        <v>15</v>
      </c>
      <c r="H175" t="s">
        <v>91</v>
      </c>
      <c r="I175">
        <v>20</v>
      </c>
      <c r="J175">
        <v>0</v>
      </c>
      <c r="K175">
        <v>7</v>
      </c>
      <c r="L175" t="s">
        <v>92</v>
      </c>
      <c r="M175">
        <v>19</v>
      </c>
      <c r="N175">
        <v>1</v>
      </c>
      <c r="O175" t="s">
        <v>15</v>
      </c>
      <c r="P175">
        <v>1</v>
      </c>
      <c r="Q175" t="s">
        <v>90</v>
      </c>
      <c r="R175" t="s">
        <v>104</v>
      </c>
    </row>
    <row r="176" spans="1:18">
      <c r="A176">
        <v>1385</v>
      </c>
      <c r="B176" t="s">
        <v>103</v>
      </c>
      <c r="C176">
        <v>15</v>
      </c>
      <c r="D176">
        <v>11</v>
      </c>
      <c r="E176" t="s">
        <v>95</v>
      </c>
      <c r="F176" t="s">
        <v>90</v>
      </c>
      <c r="G176" t="s">
        <v>15</v>
      </c>
      <c r="H176" t="s">
        <v>91</v>
      </c>
      <c r="I176">
        <v>20</v>
      </c>
      <c r="J176">
        <v>0</v>
      </c>
      <c r="K176">
        <v>7</v>
      </c>
      <c r="L176" t="s">
        <v>92</v>
      </c>
      <c r="M176">
        <v>19</v>
      </c>
      <c r="N176">
        <v>1</v>
      </c>
      <c r="O176" t="s">
        <v>15</v>
      </c>
      <c r="P176">
        <v>1</v>
      </c>
      <c r="Q176" t="s">
        <v>90</v>
      </c>
      <c r="R176" t="s">
        <v>104</v>
      </c>
    </row>
    <row r="177" spans="1:18">
      <c r="A177">
        <v>1386</v>
      </c>
      <c r="B177" t="s">
        <v>103</v>
      </c>
      <c r="C177">
        <v>16</v>
      </c>
      <c r="D177">
        <v>11</v>
      </c>
      <c r="E177" t="s">
        <v>95</v>
      </c>
      <c r="F177" t="s">
        <v>90</v>
      </c>
      <c r="G177" t="s">
        <v>15</v>
      </c>
      <c r="H177" t="s">
        <v>91</v>
      </c>
      <c r="I177">
        <v>20</v>
      </c>
      <c r="J177">
        <v>0</v>
      </c>
      <c r="K177">
        <v>7</v>
      </c>
      <c r="L177" t="s">
        <v>92</v>
      </c>
      <c r="M177">
        <v>19</v>
      </c>
      <c r="N177">
        <v>1</v>
      </c>
      <c r="O177" t="s">
        <v>15</v>
      </c>
      <c r="P177">
        <v>1</v>
      </c>
      <c r="Q177" t="s">
        <v>90</v>
      </c>
      <c r="R177" t="s">
        <v>104</v>
      </c>
    </row>
    <row r="178" spans="1:18">
      <c r="A178">
        <v>1387</v>
      </c>
      <c r="B178" t="s">
        <v>103</v>
      </c>
      <c r="C178">
        <v>17</v>
      </c>
      <c r="D178">
        <v>11</v>
      </c>
      <c r="E178" t="s">
        <v>95</v>
      </c>
      <c r="F178" t="s">
        <v>90</v>
      </c>
      <c r="G178" t="s">
        <v>15</v>
      </c>
      <c r="H178" t="s">
        <v>91</v>
      </c>
      <c r="I178">
        <v>20</v>
      </c>
      <c r="J178">
        <v>0</v>
      </c>
      <c r="K178">
        <v>7</v>
      </c>
      <c r="L178" t="s">
        <v>92</v>
      </c>
      <c r="M178">
        <v>19</v>
      </c>
      <c r="N178">
        <v>1</v>
      </c>
      <c r="O178" t="s">
        <v>15</v>
      </c>
      <c r="P178">
        <v>1</v>
      </c>
      <c r="Q178" t="s">
        <v>90</v>
      </c>
      <c r="R178" t="s">
        <v>104</v>
      </c>
    </row>
    <row r="179" spans="1:18">
      <c r="A179">
        <v>1388</v>
      </c>
      <c r="B179" t="s">
        <v>103</v>
      </c>
      <c r="C179">
        <v>18</v>
      </c>
      <c r="D179">
        <v>11</v>
      </c>
      <c r="E179" t="s">
        <v>95</v>
      </c>
      <c r="F179" t="s">
        <v>90</v>
      </c>
      <c r="G179" t="s">
        <v>15</v>
      </c>
      <c r="H179" t="s">
        <v>91</v>
      </c>
      <c r="I179">
        <v>20</v>
      </c>
      <c r="J179">
        <v>0</v>
      </c>
      <c r="K179">
        <v>7</v>
      </c>
      <c r="L179" t="s">
        <v>92</v>
      </c>
      <c r="M179">
        <v>19</v>
      </c>
      <c r="N179">
        <v>1</v>
      </c>
      <c r="O179" t="s">
        <v>15</v>
      </c>
      <c r="P179">
        <v>1</v>
      </c>
      <c r="Q179" t="s">
        <v>90</v>
      </c>
      <c r="R179" t="s">
        <v>104</v>
      </c>
    </row>
    <row r="180" spans="1:18">
      <c r="A180">
        <v>1389</v>
      </c>
      <c r="B180" t="s">
        <v>103</v>
      </c>
      <c r="C180">
        <v>19</v>
      </c>
      <c r="D180">
        <v>11</v>
      </c>
      <c r="E180" t="s">
        <v>95</v>
      </c>
      <c r="F180" t="s">
        <v>90</v>
      </c>
      <c r="G180" t="s">
        <v>15</v>
      </c>
      <c r="H180" t="s">
        <v>91</v>
      </c>
      <c r="I180">
        <v>20</v>
      </c>
      <c r="J180">
        <v>0</v>
      </c>
      <c r="K180">
        <v>7</v>
      </c>
      <c r="L180" t="s">
        <v>92</v>
      </c>
      <c r="M180">
        <v>19</v>
      </c>
      <c r="N180">
        <v>1</v>
      </c>
      <c r="O180" t="s">
        <v>15</v>
      </c>
      <c r="P180">
        <v>1</v>
      </c>
      <c r="Q180" t="s">
        <v>90</v>
      </c>
      <c r="R180" t="s">
        <v>104</v>
      </c>
    </row>
    <row r="181" spans="1:18">
      <c r="A181">
        <v>1390</v>
      </c>
      <c r="B181" t="s">
        <v>103</v>
      </c>
      <c r="C181">
        <v>20</v>
      </c>
      <c r="D181">
        <v>11</v>
      </c>
      <c r="E181" t="s">
        <v>95</v>
      </c>
      <c r="F181" t="s">
        <v>90</v>
      </c>
      <c r="G181" t="s">
        <v>15</v>
      </c>
      <c r="H181" t="s">
        <v>91</v>
      </c>
      <c r="I181">
        <v>20</v>
      </c>
      <c r="J181">
        <v>0</v>
      </c>
      <c r="K181">
        <v>7</v>
      </c>
      <c r="L181" t="s">
        <v>92</v>
      </c>
      <c r="M181">
        <v>19</v>
      </c>
      <c r="N181">
        <v>1</v>
      </c>
      <c r="O181" t="s">
        <v>15</v>
      </c>
      <c r="P181">
        <v>1</v>
      </c>
      <c r="Q181" t="s">
        <v>90</v>
      </c>
      <c r="R181" t="s">
        <v>104</v>
      </c>
    </row>
    <row r="182" spans="1:18">
      <c r="A182">
        <v>1391</v>
      </c>
      <c r="B182" t="s">
        <v>103</v>
      </c>
      <c r="C182">
        <v>21</v>
      </c>
      <c r="D182">
        <v>9</v>
      </c>
      <c r="E182" t="s">
        <v>89</v>
      </c>
      <c r="F182" t="s">
        <v>90</v>
      </c>
      <c r="G182" t="s">
        <v>15</v>
      </c>
      <c r="H182" t="s">
        <v>91</v>
      </c>
      <c r="I182">
        <v>20</v>
      </c>
      <c r="J182">
        <v>0</v>
      </c>
      <c r="K182">
        <v>7</v>
      </c>
      <c r="L182" t="s">
        <v>92</v>
      </c>
      <c r="M182">
        <v>19</v>
      </c>
      <c r="N182">
        <v>1</v>
      </c>
      <c r="O182" t="s">
        <v>15</v>
      </c>
      <c r="P182">
        <v>1</v>
      </c>
      <c r="Q182" t="s">
        <v>90</v>
      </c>
      <c r="R182" t="s">
        <v>104</v>
      </c>
    </row>
    <row r="183" spans="1:18">
      <c r="A183">
        <v>1392</v>
      </c>
      <c r="B183" t="s">
        <v>103</v>
      </c>
      <c r="C183">
        <v>22</v>
      </c>
      <c r="D183">
        <v>10</v>
      </c>
      <c r="E183" t="s">
        <v>94</v>
      </c>
      <c r="F183" t="s">
        <v>90</v>
      </c>
      <c r="G183" t="s">
        <v>15</v>
      </c>
      <c r="H183" t="s">
        <v>91</v>
      </c>
      <c r="I183">
        <v>20</v>
      </c>
      <c r="J183">
        <v>0</v>
      </c>
      <c r="K183">
        <v>7</v>
      </c>
      <c r="L183" t="s">
        <v>92</v>
      </c>
      <c r="M183">
        <v>19</v>
      </c>
      <c r="N183">
        <v>1</v>
      </c>
      <c r="O183" t="s">
        <v>15</v>
      </c>
      <c r="P183">
        <v>1</v>
      </c>
      <c r="Q183" t="s">
        <v>90</v>
      </c>
      <c r="R183" t="s">
        <v>104</v>
      </c>
    </row>
    <row r="184" spans="1:18">
      <c r="A184">
        <v>1393</v>
      </c>
      <c r="B184" t="s">
        <v>103</v>
      </c>
      <c r="C184">
        <v>23</v>
      </c>
      <c r="D184">
        <v>9</v>
      </c>
      <c r="E184" t="s">
        <v>89</v>
      </c>
      <c r="F184" t="s">
        <v>90</v>
      </c>
      <c r="G184" t="s">
        <v>15</v>
      </c>
      <c r="H184" t="s">
        <v>91</v>
      </c>
      <c r="I184">
        <v>20</v>
      </c>
      <c r="J184">
        <v>0</v>
      </c>
      <c r="K184">
        <v>7</v>
      </c>
      <c r="L184" t="s">
        <v>92</v>
      </c>
      <c r="M184">
        <v>19</v>
      </c>
      <c r="N184">
        <v>1</v>
      </c>
      <c r="O184" t="s">
        <v>15</v>
      </c>
      <c r="P184">
        <v>1</v>
      </c>
      <c r="Q184" t="s">
        <v>90</v>
      </c>
      <c r="R184" t="s">
        <v>104</v>
      </c>
    </row>
    <row r="185" spans="1:18">
      <c r="A185">
        <v>1394</v>
      </c>
      <c r="B185" t="s">
        <v>103</v>
      </c>
      <c r="C185">
        <v>24</v>
      </c>
      <c r="D185">
        <v>10</v>
      </c>
      <c r="E185" t="s">
        <v>94</v>
      </c>
      <c r="F185" t="s">
        <v>90</v>
      </c>
      <c r="G185" t="s">
        <v>15</v>
      </c>
      <c r="H185" t="s">
        <v>91</v>
      </c>
      <c r="I185">
        <v>20</v>
      </c>
      <c r="J185">
        <v>0</v>
      </c>
      <c r="K185">
        <v>7</v>
      </c>
      <c r="L185" t="s">
        <v>92</v>
      </c>
      <c r="M185">
        <v>19</v>
      </c>
      <c r="N185">
        <v>1</v>
      </c>
      <c r="O185" t="s">
        <v>15</v>
      </c>
      <c r="P185">
        <v>1</v>
      </c>
      <c r="Q185" t="s">
        <v>90</v>
      </c>
      <c r="R185" t="s">
        <v>104</v>
      </c>
    </row>
    <row r="186" spans="1:18">
      <c r="A186">
        <v>1395</v>
      </c>
      <c r="B186" t="s">
        <v>103</v>
      </c>
      <c r="C186">
        <v>25</v>
      </c>
      <c r="D186">
        <v>9</v>
      </c>
      <c r="E186" t="s">
        <v>89</v>
      </c>
      <c r="F186" t="s">
        <v>90</v>
      </c>
      <c r="G186" t="s">
        <v>15</v>
      </c>
      <c r="H186" t="s">
        <v>91</v>
      </c>
      <c r="I186">
        <v>20</v>
      </c>
      <c r="J186">
        <v>0</v>
      </c>
      <c r="K186">
        <v>7</v>
      </c>
      <c r="L186" t="s">
        <v>92</v>
      </c>
      <c r="M186">
        <v>19</v>
      </c>
      <c r="N186">
        <v>1</v>
      </c>
      <c r="O186" t="s">
        <v>15</v>
      </c>
      <c r="P186">
        <v>1</v>
      </c>
      <c r="Q186" t="s">
        <v>90</v>
      </c>
      <c r="R186" t="s">
        <v>104</v>
      </c>
    </row>
    <row r="187" spans="1:18">
      <c r="A187">
        <v>1396</v>
      </c>
      <c r="B187" t="s">
        <v>103</v>
      </c>
      <c r="C187">
        <v>26</v>
      </c>
      <c r="D187">
        <v>10</v>
      </c>
      <c r="E187" t="s">
        <v>94</v>
      </c>
      <c r="F187" t="s">
        <v>90</v>
      </c>
      <c r="G187" t="s">
        <v>15</v>
      </c>
      <c r="H187" t="s">
        <v>91</v>
      </c>
      <c r="I187">
        <v>20</v>
      </c>
      <c r="J187">
        <v>0</v>
      </c>
      <c r="K187">
        <v>7</v>
      </c>
      <c r="L187" t="s">
        <v>92</v>
      </c>
      <c r="M187">
        <v>19</v>
      </c>
      <c r="N187">
        <v>1</v>
      </c>
      <c r="O187" t="s">
        <v>15</v>
      </c>
      <c r="P187">
        <v>1</v>
      </c>
      <c r="Q187" t="s">
        <v>90</v>
      </c>
      <c r="R187" t="s">
        <v>104</v>
      </c>
    </row>
    <row r="188" spans="1:18">
      <c r="A188">
        <v>1397</v>
      </c>
      <c r="B188" t="s">
        <v>103</v>
      </c>
      <c r="C188">
        <v>27</v>
      </c>
      <c r="D188">
        <v>9</v>
      </c>
      <c r="E188" t="s">
        <v>89</v>
      </c>
      <c r="F188" t="s">
        <v>90</v>
      </c>
      <c r="G188" t="s">
        <v>15</v>
      </c>
      <c r="H188" t="s">
        <v>91</v>
      </c>
      <c r="I188">
        <v>20</v>
      </c>
      <c r="J188">
        <v>0</v>
      </c>
      <c r="K188">
        <v>7</v>
      </c>
      <c r="L188" t="s">
        <v>92</v>
      </c>
      <c r="M188">
        <v>19</v>
      </c>
      <c r="N188">
        <v>1</v>
      </c>
      <c r="O188" t="s">
        <v>15</v>
      </c>
      <c r="P188">
        <v>1</v>
      </c>
      <c r="Q188" t="s">
        <v>90</v>
      </c>
      <c r="R188" t="s">
        <v>104</v>
      </c>
    </row>
    <row r="189" spans="1:18">
      <c r="A189">
        <v>1398</v>
      </c>
      <c r="B189" t="s">
        <v>103</v>
      </c>
      <c r="C189">
        <v>28</v>
      </c>
      <c r="D189">
        <v>10</v>
      </c>
      <c r="E189" t="s">
        <v>94</v>
      </c>
      <c r="F189" t="s">
        <v>90</v>
      </c>
      <c r="G189" t="s">
        <v>15</v>
      </c>
      <c r="H189" t="s">
        <v>91</v>
      </c>
      <c r="I189">
        <v>20</v>
      </c>
      <c r="J189">
        <v>0</v>
      </c>
      <c r="K189">
        <v>7</v>
      </c>
      <c r="L189" t="s">
        <v>92</v>
      </c>
      <c r="M189">
        <v>19</v>
      </c>
      <c r="N189">
        <v>1</v>
      </c>
      <c r="O189" t="s">
        <v>15</v>
      </c>
      <c r="P189">
        <v>1</v>
      </c>
      <c r="Q189" t="s">
        <v>90</v>
      </c>
      <c r="R189" t="s">
        <v>104</v>
      </c>
    </row>
    <row r="190" spans="1:18">
      <c r="A190">
        <v>1399</v>
      </c>
      <c r="B190" t="s">
        <v>103</v>
      </c>
      <c r="C190">
        <v>29</v>
      </c>
      <c r="D190">
        <v>9</v>
      </c>
      <c r="E190" t="s">
        <v>89</v>
      </c>
      <c r="F190" t="s">
        <v>90</v>
      </c>
      <c r="G190" t="s">
        <v>15</v>
      </c>
      <c r="H190" t="s">
        <v>91</v>
      </c>
      <c r="I190">
        <v>20</v>
      </c>
      <c r="J190">
        <v>0</v>
      </c>
      <c r="K190">
        <v>7</v>
      </c>
      <c r="L190" t="s">
        <v>92</v>
      </c>
      <c r="M190">
        <v>19</v>
      </c>
      <c r="N190">
        <v>1</v>
      </c>
      <c r="O190" t="s">
        <v>15</v>
      </c>
      <c r="P190">
        <v>1</v>
      </c>
      <c r="Q190" t="s">
        <v>90</v>
      </c>
      <c r="R190" t="s">
        <v>104</v>
      </c>
    </row>
    <row r="191" spans="1:18">
      <c r="A191">
        <v>1400</v>
      </c>
      <c r="B191" t="s">
        <v>103</v>
      </c>
      <c r="C191">
        <v>30</v>
      </c>
      <c r="D191">
        <v>10</v>
      </c>
      <c r="E191" t="s">
        <v>94</v>
      </c>
      <c r="F191" t="s">
        <v>90</v>
      </c>
      <c r="G191" t="s">
        <v>15</v>
      </c>
      <c r="H191" t="s">
        <v>91</v>
      </c>
      <c r="I191">
        <v>20</v>
      </c>
      <c r="J191">
        <v>0</v>
      </c>
      <c r="K191">
        <v>7</v>
      </c>
      <c r="L191" t="s">
        <v>92</v>
      </c>
      <c r="M191">
        <v>19</v>
      </c>
      <c r="N191">
        <v>1</v>
      </c>
      <c r="O191" t="s">
        <v>15</v>
      </c>
      <c r="P191">
        <v>1</v>
      </c>
      <c r="Q191" t="s">
        <v>90</v>
      </c>
      <c r="R191" t="s">
        <v>104</v>
      </c>
    </row>
    <row r="192" spans="1:18">
      <c r="A192">
        <v>1401</v>
      </c>
      <c r="B192" t="s">
        <v>103</v>
      </c>
      <c r="C192">
        <v>31</v>
      </c>
      <c r="D192">
        <v>12</v>
      </c>
      <c r="E192" t="s">
        <v>96</v>
      </c>
      <c r="F192" t="s">
        <v>90</v>
      </c>
      <c r="G192" t="s">
        <v>15</v>
      </c>
      <c r="H192" t="s">
        <v>91</v>
      </c>
      <c r="I192">
        <v>20</v>
      </c>
      <c r="J192">
        <v>0</v>
      </c>
      <c r="K192">
        <v>7</v>
      </c>
      <c r="L192" t="s">
        <v>92</v>
      </c>
      <c r="M192">
        <v>19</v>
      </c>
      <c r="N192">
        <v>1</v>
      </c>
      <c r="O192" t="s">
        <v>15</v>
      </c>
      <c r="P192">
        <v>1</v>
      </c>
      <c r="Q192" t="s">
        <v>90</v>
      </c>
      <c r="R192" t="s">
        <v>104</v>
      </c>
    </row>
    <row r="193" spans="1:18">
      <c r="A193">
        <v>1402</v>
      </c>
      <c r="B193" t="s">
        <v>103</v>
      </c>
      <c r="C193">
        <v>32</v>
      </c>
      <c r="D193">
        <v>12</v>
      </c>
      <c r="E193" t="s">
        <v>96</v>
      </c>
      <c r="F193" t="s">
        <v>90</v>
      </c>
      <c r="G193" t="s">
        <v>15</v>
      </c>
      <c r="H193" t="s">
        <v>91</v>
      </c>
      <c r="I193">
        <v>20</v>
      </c>
      <c r="J193">
        <v>0</v>
      </c>
      <c r="K193">
        <v>7</v>
      </c>
      <c r="L193" t="s">
        <v>92</v>
      </c>
      <c r="M193">
        <v>19</v>
      </c>
      <c r="N193">
        <v>1</v>
      </c>
      <c r="O193" t="s">
        <v>15</v>
      </c>
      <c r="P193">
        <v>1</v>
      </c>
      <c r="Q193" t="s">
        <v>90</v>
      </c>
      <c r="R193" t="s">
        <v>104</v>
      </c>
    </row>
    <row r="194" spans="1:18">
      <c r="A194">
        <v>1403</v>
      </c>
      <c r="B194" t="s">
        <v>103</v>
      </c>
      <c r="C194">
        <v>33</v>
      </c>
      <c r="D194">
        <v>12</v>
      </c>
      <c r="E194" t="s">
        <v>96</v>
      </c>
      <c r="F194" t="s">
        <v>90</v>
      </c>
      <c r="G194" t="s">
        <v>15</v>
      </c>
      <c r="H194" t="s">
        <v>91</v>
      </c>
      <c r="I194">
        <v>20</v>
      </c>
      <c r="J194">
        <v>0</v>
      </c>
      <c r="K194">
        <v>7</v>
      </c>
      <c r="L194" t="s">
        <v>92</v>
      </c>
      <c r="M194">
        <v>19</v>
      </c>
      <c r="N194">
        <v>1</v>
      </c>
      <c r="O194" t="s">
        <v>15</v>
      </c>
      <c r="P194">
        <v>1</v>
      </c>
      <c r="Q194" t="s">
        <v>90</v>
      </c>
      <c r="R194" t="s">
        <v>104</v>
      </c>
    </row>
    <row r="195" spans="1:18">
      <c r="A195">
        <v>1404</v>
      </c>
      <c r="B195" t="s">
        <v>103</v>
      </c>
      <c r="C195">
        <v>34</v>
      </c>
      <c r="D195">
        <v>12</v>
      </c>
      <c r="E195" t="s">
        <v>96</v>
      </c>
      <c r="F195" t="s">
        <v>90</v>
      </c>
      <c r="G195" t="s">
        <v>15</v>
      </c>
      <c r="H195" t="s">
        <v>91</v>
      </c>
      <c r="I195">
        <v>20</v>
      </c>
      <c r="J195">
        <v>0</v>
      </c>
      <c r="K195">
        <v>7</v>
      </c>
      <c r="L195" t="s">
        <v>92</v>
      </c>
      <c r="M195">
        <v>19</v>
      </c>
      <c r="N195">
        <v>1</v>
      </c>
      <c r="O195" t="s">
        <v>15</v>
      </c>
      <c r="P195">
        <v>1</v>
      </c>
      <c r="Q195" t="s">
        <v>90</v>
      </c>
      <c r="R195" t="s">
        <v>104</v>
      </c>
    </row>
    <row r="196" spans="1:18">
      <c r="A196">
        <v>1405</v>
      </c>
      <c r="B196" t="s">
        <v>103</v>
      </c>
      <c r="C196">
        <v>35</v>
      </c>
      <c r="D196">
        <v>12</v>
      </c>
      <c r="E196" t="s">
        <v>96</v>
      </c>
      <c r="F196" t="s">
        <v>90</v>
      </c>
      <c r="G196" t="s">
        <v>15</v>
      </c>
      <c r="H196" t="s">
        <v>91</v>
      </c>
      <c r="I196">
        <v>20</v>
      </c>
      <c r="J196">
        <v>0</v>
      </c>
      <c r="K196">
        <v>7</v>
      </c>
      <c r="L196" t="s">
        <v>92</v>
      </c>
      <c r="M196">
        <v>19</v>
      </c>
      <c r="N196">
        <v>1</v>
      </c>
      <c r="O196" t="s">
        <v>15</v>
      </c>
      <c r="P196">
        <v>1</v>
      </c>
      <c r="Q196" t="s">
        <v>90</v>
      </c>
      <c r="R196" t="s">
        <v>104</v>
      </c>
    </row>
    <row r="197" spans="1:18">
      <c r="A197">
        <v>1406</v>
      </c>
      <c r="B197" t="s">
        <v>103</v>
      </c>
      <c r="C197">
        <v>36</v>
      </c>
      <c r="D197">
        <v>12</v>
      </c>
      <c r="E197" t="s">
        <v>96</v>
      </c>
      <c r="F197" t="s">
        <v>90</v>
      </c>
      <c r="G197" t="s">
        <v>15</v>
      </c>
      <c r="H197" t="s">
        <v>91</v>
      </c>
      <c r="I197">
        <v>20</v>
      </c>
      <c r="J197">
        <v>0</v>
      </c>
      <c r="K197">
        <v>7</v>
      </c>
      <c r="L197" t="s">
        <v>92</v>
      </c>
      <c r="M197">
        <v>19</v>
      </c>
      <c r="N197">
        <v>1</v>
      </c>
      <c r="O197" t="s">
        <v>15</v>
      </c>
      <c r="P197">
        <v>1</v>
      </c>
      <c r="Q197" t="s">
        <v>90</v>
      </c>
      <c r="R197" t="s">
        <v>104</v>
      </c>
    </row>
    <row r="198" spans="1:18">
      <c r="A198">
        <v>1407</v>
      </c>
      <c r="B198" t="s">
        <v>103</v>
      </c>
      <c r="C198">
        <v>37</v>
      </c>
      <c r="D198">
        <v>12</v>
      </c>
      <c r="E198" t="s">
        <v>96</v>
      </c>
      <c r="F198" t="s">
        <v>90</v>
      </c>
      <c r="G198" t="s">
        <v>15</v>
      </c>
      <c r="H198" t="s">
        <v>91</v>
      </c>
      <c r="I198">
        <v>20</v>
      </c>
      <c r="J198">
        <v>0</v>
      </c>
      <c r="K198">
        <v>7</v>
      </c>
      <c r="L198" t="s">
        <v>92</v>
      </c>
      <c r="M198">
        <v>19</v>
      </c>
      <c r="N198">
        <v>1</v>
      </c>
      <c r="O198" t="s">
        <v>15</v>
      </c>
      <c r="P198">
        <v>1</v>
      </c>
      <c r="Q198" t="s">
        <v>90</v>
      </c>
      <c r="R198" t="s">
        <v>104</v>
      </c>
    </row>
    <row r="199" spans="1:18">
      <c r="A199">
        <v>1408</v>
      </c>
      <c r="B199" t="s">
        <v>103</v>
      </c>
      <c r="C199">
        <v>38</v>
      </c>
      <c r="D199">
        <v>12</v>
      </c>
      <c r="E199" t="s">
        <v>96</v>
      </c>
      <c r="F199" t="s">
        <v>90</v>
      </c>
      <c r="G199" t="s">
        <v>15</v>
      </c>
      <c r="H199" t="s">
        <v>91</v>
      </c>
      <c r="I199">
        <v>20</v>
      </c>
      <c r="J199">
        <v>0</v>
      </c>
      <c r="K199">
        <v>7</v>
      </c>
      <c r="L199" t="s">
        <v>92</v>
      </c>
      <c r="M199">
        <v>19</v>
      </c>
      <c r="N199">
        <v>1</v>
      </c>
      <c r="O199" t="s">
        <v>15</v>
      </c>
      <c r="P199">
        <v>1</v>
      </c>
      <c r="Q199" t="s">
        <v>90</v>
      </c>
      <c r="R199" t="s">
        <v>104</v>
      </c>
    </row>
    <row r="200" spans="1:18">
      <c r="A200">
        <v>1409</v>
      </c>
      <c r="B200" t="s">
        <v>103</v>
      </c>
      <c r="C200">
        <v>39</v>
      </c>
      <c r="D200">
        <v>12</v>
      </c>
      <c r="E200" t="s">
        <v>96</v>
      </c>
      <c r="F200" t="s">
        <v>90</v>
      </c>
      <c r="G200" t="s">
        <v>15</v>
      </c>
      <c r="H200" t="s">
        <v>91</v>
      </c>
      <c r="I200">
        <v>20</v>
      </c>
      <c r="J200">
        <v>0</v>
      </c>
      <c r="K200">
        <v>7</v>
      </c>
      <c r="L200" t="s">
        <v>92</v>
      </c>
      <c r="M200">
        <v>19</v>
      </c>
      <c r="N200">
        <v>1</v>
      </c>
      <c r="O200" t="s">
        <v>15</v>
      </c>
      <c r="P200">
        <v>1</v>
      </c>
      <c r="Q200" t="s">
        <v>90</v>
      </c>
      <c r="R200" t="s">
        <v>104</v>
      </c>
    </row>
    <row r="201" spans="1:18">
      <c r="A201">
        <v>1410</v>
      </c>
      <c r="B201" t="s">
        <v>103</v>
      </c>
      <c r="C201">
        <v>40</v>
      </c>
      <c r="D201">
        <v>12</v>
      </c>
      <c r="E201" t="s">
        <v>96</v>
      </c>
      <c r="F201" t="s">
        <v>90</v>
      </c>
      <c r="G201" t="s">
        <v>15</v>
      </c>
      <c r="H201" t="s">
        <v>91</v>
      </c>
      <c r="I201">
        <v>20</v>
      </c>
      <c r="J201">
        <v>0</v>
      </c>
      <c r="K201">
        <v>7</v>
      </c>
      <c r="L201" t="s">
        <v>92</v>
      </c>
      <c r="M201">
        <v>19</v>
      </c>
      <c r="N201">
        <v>1</v>
      </c>
      <c r="O201" t="s">
        <v>15</v>
      </c>
      <c r="P201">
        <v>1</v>
      </c>
      <c r="Q201" t="s">
        <v>90</v>
      </c>
      <c r="R201" t="s">
        <v>104</v>
      </c>
    </row>
    <row r="202" spans="1:18">
      <c r="A202">
        <v>1411</v>
      </c>
      <c r="B202" t="s">
        <v>105</v>
      </c>
      <c r="C202">
        <v>1</v>
      </c>
      <c r="D202">
        <v>9</v>
      </c>
      <c r="E202" t="s">
        <v>89</v>
      </c>
      <c r="F202" t="s">
        <v>90</v>
      </c>
      <c r="G202" t="s">
        <v>15</v>
      </c>
      <c r="H202" t="s">
        <v>91</v>
      </c>
      <c r="I202">
        <v>20</v>
      </c>
      <c r="J202">
        <v>0</v>
      </c>
      <c r="K202">
        <v>7</v>
      </c>
      <c r="L202" t="s">
        <v>92</v>
      </c>
      <c r="M202">
        <v>20</v>
      </c>
      <c r="N202">
        <v>1</v>
      </c>
      <c r="O202" t="s">
        <v>15</v>
      </c>
      <c r="P202">
        <v>1</v>
      </c>
      <c r="Q202" t="s">
        <v>90</v>
      </c>
      <c r="R202" t="s">
        <v>106</v>
      </c>
    </row>
    <row r="203" spans="1:18">
      <c r="A203">
        <v>1412</v>
      </c>
      <c r="B203" t="s">
        <v>105</v>
      </c>
      <c r="C203">
        <v>2</v>
      </c>
      <c r="D203">
        <v>10</v>
      </c>
      <c r="E203" t="s">
        <v>94</v>
      </c>
      <c r="F203" t="s">
        <v>90</v>
      </c>
      <c r="G203" t="s">
        <v>15</v>
      </c>
      <c r="H203" t="s">
        <v>91</v>
      </c>
      <c r="I203">
        <v>20</v>
      </c>
      <c r="J203">
        <v>0</v>
      </c>
      <c r="K203">
        <v>7</v>
      </c>
      <c r="L203" t="s">
        <v>92</v>
      </c>
      <c r="M203">
        <v>20</v>
      </c>
      <c r="N203">
        <v>1</v>
      </c>
      <c r="O203" t="s">
        <v>15</v>
      </c>
      <c r="P203">
        <v>1</v>
      </c>
      <c r="Q203" t="s">
        <v>90</v>
      </c>
      <c r="R203" t="s">
        <v>106</v>
      </c>
    </row>
    <row r="204" spans="1:18">
      <c r="A204">
        <v>1413</v>
      </c>
      <c r="B204" t="s">
        <v>105</v>
      </c>
      <c r="C204">
        <v>3</v>
      </c>
      <c r="D204">
        <v>9</v>
      </c>
      <c r="E204" t="s">
        <v>89</v>
      </c>
      <c r="F204" t="s">
        <v>90</v>
      </c>
      <c r="G204" t="s">
        <v>15</v>
      </c>
      <c r="H204" t="s">
        <v>91</v>
      </c>
      <c r="I204">
        <v>20</v>
      </c>
      <c r="J204">
        <v>0</v>
      </c>
      <c r="K204">
        <v>7</v>
      </c>
      <c r="L204" t="s">
        <v>92</v>
      </c>
      <c r="M204">
        <v>20</v>
      </c>
      <c r="N204">
        <v>1</v>
      </c>
      <c r="O204" t="s">
        <v>15</v>
      </c>
      <c r="P204">
        <v>1</v>
      </c>
      <c r="Q204" t="s">
        <v>90</v>
      </c>
      <c r="R204" t="s">
        <v>106</v>
      </c>
    </row>
    <row r="205" spans="1:18">
      <c r="A205">
        <v>1414</v>
      </c>
      <c r="B205" t="s">
        <v>105</v>
      </c>
      <c r="C205">
        <v>4</v>
      </c>
      <c r="D205">
        <v>9</v>
      </c>
      <c r="E205" t="s">
        <v>89</v>
      </c>
      <c r="F205" t="s">
        <v>90</v>
      </c>
      <c r="G205" t="s">
        <v>15</v>
      </c>
      <c r="H205" t="s">
        <v>91</v>
      </c>
      <c r="I205">
        <v>20</v>
      </c>
      <c r="J205">
        <v>0</v>
      </c>
      <c r="K205">
        <v>7</v>
      </c>
      <c r="L205" t="s">
        <v>92</v>
      </c>
      <c r="M205">
        <v>20</v>
      </c>
      <c r="N205">
        <v>1</v>
      </c>
      <c r="O205" t="s">
        <v>15</v>
      </c>
      <c r="P205">
        <v>1</v>
      </c>
      <c r="Q205" t="s">
        <v>90</v>
      </c>
      <c r="R205" t="s">
        <v>106</v>
      </c>
    </row>
    <row r="206" spans="1:18">
      <c r="A206">
        <v>1415</v>
      </c>
      <c r="B206" t="s">
        <v>105</v>
      </c>
      <c r="C206">
        <v>5</v>
      </c>
      <c r="D206">
        <v>9</v>
      </c>
      <c r="E206" t="s">
        <v>89</v>
      </c>
      <c r="F206" t="s">
        <v>90</v>
      </c>
      <c r="G206" t="s">
        <v>15</v>
      </c>
      <c r="H206" t="s">
        <v>91</v>
      </c>
      <c r="I206">
        <v>20</v>
      </c>
      <c r="J206">
        <v>0</v>
      </c>
      <c r="K206">
        <v>7</v>
      </c>
      <c r="L206" t="s">
        <v>92</v>
      </c>
      <c r="M206">
        <v>20</v>
      </c>
      <c r="N206">
        <v>1</v>
      </c>
      <c r="O206" t="s">
        <v>15</v>
      </c>
      <c r="P206">
        <v>1</v>
      </c>
      <c r="Q206" t="s">
        <v>90</v>
      </c>
      <c r="R206" t="s">
        <v>106</v>
      </c>
    </row>
    <row r="207" spans="1:18">
      <c r="A207">
        <v>1416</v>
      </c>
      <c r="B207" t="s">
        <v>105</v>
      </c>
      <c r="C207">
        <v>6</v>
      </c>
      <c r="D207">
        <v>10</v>
      </c>
      <c r="E207" t="s">
        <v>94</v>
      </c>
      <c r="F207" t="s">
        <v>90</v>
      </c>
      <c r="G207" t="s">
        <v>15</v>
      </c>
      <c r="H207" t="s">
        <v>91</v>
      </c>
      <c r="I207">
        <v>20</v>
      </c>
      <c r="J207">
        <v>0</v>
      </c>
      <c r="K207">
        <v>7</v>
      </c>
      <c r="L207" t="s">
        <v>92</v>
      </c>
      <c r="M207">
        <v>20</v>
      </c>
      <c r="N207">
        <v>1</v>
      </c>
      <c r="O207" t="s">
        <v>15</v>
      </c>
      <c r="P207">
        <v>1</v>
      </c>
      <c r="Q207" t="s">
        <v>90</v>
      </c>
      <c r="R207" t="s">
        <v>106</v>
      </c>
    </row>
    <row r="208" spans="1:18">
      <c r="A208">
        <v>1417</v>
      </c>
      <c r="B208" t="s">
        <v>105</v>
      </c>
      <c r="C208">
        <v>7</v>
      </c>
      <c r="D208">
        <v>10</v>
      </c>
      <c r="E208" t="s">
        <v>94</v>
      </c>
      <c r="F208" t="s">
        <v>90</v>
      </c>
      <c r="G208" t="s">
        <v>15</v>
      </c>
      <c r="H208" t="s">
        <v>91</v>
      </c>
      <c r="I208">
        <v>20</v>
      </c>
      <c r="J208">
        <v>0</v>
      </c>
      <c r="K208">
        <v>7</v>
      </c>
      <c r="L208" t="s">
        <v>92</v>
      </c>
      <c r="M208">
        <v>20</v>
      </c>
      <c r="N208">
        <v>1</v>
      </c>
      <c r="O208" t="s">
        <v>15</v>
      </c>
      <c r="P208">
        <v>1</v>
      </c>
      <c r="Q208" t="s">
        <v>90</v>
      </c>
      <c r="R208" t="s">
        <v>106</v>
      </c>
    </row>
    <row r="209" spans="1:18">
      <c r="A209">
        <v>1418</v>
      </c>
      <c r="B209" t="s">
        <v>105</v>
      </c>
      <c r="C209">
        <v>8</v>
      </c>
      <c r="D209">
        <v>10</v>
      </c>
      <c r="E209" t="s">
        <v>94</v>
      </c>
      <c r="F209" t="s">
        <v>90</v>
      </c>
      <c r="G209" t="s">
        <v>15</v>
      </c>
      <c r="H209" t="s">
        <v>91</v>
      </c>
      <c r="I209">
        <v>20</v>
      </c>
      <c r="J209">
        <v>0</v>
      </c>
      <c r="K209">
        <v>7</v>
      </c>
      <c r="L209" t="s">
        <v>92</v>
      </c>
      <c r="M209">
        <v>20</v>
      </c>
      <c r="N209">
        <v>1</v>
      </c>
      <c r="O209" t="s">
        <v>15</v>
      </c>
      <c r="P209">
        <v>1</v>
      </c>
      <c r="Q209" t="s">
        <v>90</v>
      </c>
      <c r="R209" t="s">
        <v>106</v>
      </c>
    </row>
    <row r="210" spans="1:18">
      <c r="A210">
        <v>1419</v>
      </c>
      <c r="B210" t="s">
        <v>105</v>
      </c>
      <c r="C210">
        <v>9</v>
      </c>
      <c r="D210">
        <v>10</v>
      </c>
      <c r="E210" t="s">
        <v>94</v>
      </c>
      <c r="F210" t="s">
        <v>90</v>
      </c>
      <c r="G210" t="s">
        <v>15</v>
      </c>
      <c r="H210" t="s">
        <v>91</v>
      </c>
      <c r="I210">
        <v>20</v>
      </c>
      <c r="J210">
        <v>0</v>
      </c>
      <c r="K210">
        <v>7</v>
      </c>
      <c r="L210" t="s">
        <v>92</v>
      </c>
      <c r="M210">
        <v>20</v>
      </c>
      <c r="N210">
        <v>1</v>
      </c>
      <c r="O210" t="s">
        <v>15</v>
      </c>
      <c r="P210">
        <v>1</v>
      </c>
      <c r="Q210" t="s">
        <v>90</v>
      </c>
      <c r="R210" t="s">
        <v>106</v>
      </c>
    </row>
    <row r="211" spans="1:18">
      <c r="A211">
        <v>1420</v>
      </c>
      <c r="B211" t="s">
        <v>105</v>
      </c>
      <c r="C211">
        <v>10</v>
      </c>
      <c r="D211">
        <v>9</v>
      </c>
      <c r="E211" t="s">
        <v>89</v>
      </c>
      <c r="F211" t="s">
        <v>90</v>
      </c>
      <c r="G211" t="s">
        <v>15</v>
      </c>
      <c r="H211" t="s">
        <v>91</v>
      </c>
      <c r="I211">
        <v>20</v>
      </c>
      <c r="J211">
        <v>0</v>
      </c>
      <c r="K211">
        <v>7</v>
      </c>
      <c r="L211" t="s">
        <v>92</v>
      </c>
      <c r="M211">
        <v>20</v>
      </c>
      <c r="N211">
        <v>1</v>
      </c>
      <c r="O211" t="s">
        <v>15</v>
      </c>
      <c r="P211">
        <v>1</v>
      </c>
      <c r="Q211" t="s">
        <v>90</v>
      </c>
      <c r="R211" t="s">
        <v>106</v>
      </c>
    </row>
    <row r="212" spans="1:18">
      <c r="A212">
        <v>1421</v>
      </c>
      <c r="B212" t="s">
        <v>105</v>
      </c>
      <c r="C212">
        <v>11</v>
      </c>
      <c r="D212">
        <v>11</v>
      </c>
      <c r="E212" t="s">
        <v>95</v>
      </c>
      <c r="F212" t="s">
        <v>90</v>
      </c>
      <c r="G212" t="s">
        <v>15</v>
      </c>
      <c r="H212" t="s">
        <v>91</v>
      </c>
      <c r="I212">
        <v>20</v>
      </c>
      <c r="J212">
        <v>0</v>
      </c>
      <c r="K212">
        <v>7</v>
      </c>
      <c r="L212" t="s">
        <v>92</v>
      </c>
      <c r="M212">
        <v>20</v>
      </c>
      <c r="N212">
        <v>1</v>
      </c>
      <c r="O212" t="s">
        <v>15</v>
      </c>
      <c r="P212">
        <v>1</v>
      </c>
      <c r="Q212" t="s">
        <v>90</v>
      </c>
      <c r="R212" t="s">
        <v>106</v>
      </c>
    </row>
    <row r="213" spans="1:18">
      <c r="A213">
        <v>1422</v>
      </c>
      <c r="B213" t="s">
        <v>105</v>
      </c>
      <c r="C213">
        <v>12</v>
      </c>
      <c r="D213">
        <v>11</v>
      </c>
      <c r="E213" t="s">
        <v>95</v>
      </c>
      <c r="F213" t="s">
        <v>90</v>
      </c>
      <c r="G213" t="s">
        <v>15</v>
      </c>
      <c r="H213" t="s">
        <v>91</v>
      </c>
      <c r="I213">
        <v>20</v>
      </c>
      <c r="J213">
        <v>0</v>
      </c>
      <c r="K213">
        <v>7</v>
      </c>
      <c r="L213" t="s">
        <v>92</v>
      </c>
      <c r="M213">
        <v>20</v>
      </c>
      <c r="N213">
        <v>1</v>
      </c>
      <c r="O213" t="s">
        <v>15</v>
      </c>
      <c r="P213">
        <v>1</v>
      </c>
      <c r="Q213" t="s">
        <v>90</v>
      </c>
      <c r="R213" t="s">
        <v>106</v>
      </c>
    </row>
    <row r="214" spans="1:18">
      <c r="A214">
        <v>1423</v>
      </c>
      <c r="B214" t="s">
        <v>105</v>
      </c>
      <c r="C214">
        <v>13</v>
      </c>
      <c r="D214">
        <v>11</v>
      </c>
      <c r="E214" t="s">
        <v>95</v>
      </c>
      <c r="F214" t="s">
        <v>90</v>
      </c>
      <c r="G214" t="s">
        <v>15</v>
      </c>
      <c r="H214" t="s">
        <v>91</v>
      </c>
      <c r="I214">
        <v>20</v>
      </c>
      <c r="J214">
        <v>0</v>
      </c>
      <c r="K214">
        <v>7</v>
      </c>
      <c r="L214" t="s">
        <v>92</v>
      </c>
      <c r="M214">
        <v>20</v>
      </c>
      <c r="N214">
        <v>1</v>
      </c>
      <c r="O214" t="s">
        <v>15</v>
      </c>
      <c r="P214">
        <v>1</v>
      </c>
      <c r="Q214" t="s">
        <v>90</v>
      </c>
      <c r="R214" t="s">
        <v>106</v>
      </c>
    </row>
    <row r="215" spans="1:18">
      <c r="A215">
        <v>1424</v>
      </c>
      <c r="B215" t="s">
        <v>105</v>
      </c>
      <c r="C215">
        <v>14</v>
      </c>
      <c r="D215">
        <v>11</v>
      </c>
      <c r="E215" t="s">
        <v>95</v>
      </c>
      <c r="F215" t="s">
        <v>90</v>
      </c>
      <c r="G215" t="s">
        <v>15</v>
      </c>
      <c r="H215" t="s">
        <v>91</v>
      </c>
      <c r="I215">
        <v>20</v>
      </c>
      <c r="J215">
        <v>0</v>
      </c>
      <c r="K215">
        <v>7</v>
      </c>
      <c r="L215" t="s">
        <v>92</v>
      </c>
      <c r="M215">
        <v>20</v>
      </c>
      <c r="N215">
        <v>1</v>
      </c>
      <c r="O215" t="s">
        <v>15</v>
      </c>
      <c r="P215">
        <v>1</v>
      </c>
      <c r="Q215" t="s">
        <v>90</v>
      </c>
      <c r="R215" t="s">
        <v>106</v>
      </c>
    </row>
    <row r="216" spans="1:18">
      <c r="A216">
        <v>1425</v>
      </c>
      <c r="B216" t="s">
        <v>105</v>
      </c>
      <c r="C216">
        <v>15</v>
      </c>
      <c r="D216">
        <v>11</v>
      </c>
      <c r="E216" t="s">
        <v>95</v>
      </c>
      <c r="F216" t="s">
        <v>90</v>
      </c>
      <c r="G216" t="s">
        <v>15</v>
      </c>
      <c r="H216" t="s">
        <v>91</v>
      </c>
      <c r="I216">
        <v>20</v>
      </c>
      <c r="J216">
        <v>0</v>
      </c>
      <c r="K216">
        <v>7</v>
      </c>
      <c r="L216" t="s">
        <v>92</v>
      </c>
      <c r="M216">
        <v>20</v>
      </c>
      <c r="N216">
        <v>1</v>
      </c>
      <c r="O216" t="s">
        <v>15</v>
      </c>
      <c r="P216">
        <v>1</v>
      </c>
      <c r="Q216" t="s">
        <v>90</v>
      </c>
      <c r="R216" t="s">
        <v>106</v>
      </c>
    </row>
    <row r="217" spans="1:18">
      <c r="A217">
        <v>1426</v>
      </c>
      <c r="B217" t="s">
        <v>105</v>
      </c>
      <c r="C217">
        <v>16</v>
      </c>
      <c r="D217">
        <v>11</v>
      </c>
      <c r="E217" t="s">
        <v>95</v>
      </c>
      <c r="F217" t="s">
        <v>90</v>
      </c>
      <c r="G217" t="s">
        <v>15</v>
      </c>
      <c r="H217" t="s">
        <v>91</v>
      </c>
      <c r="I217">
        <v>20</v>
      </c>
      <c r="J217">
        <v>0</v>
      </c>
      <c r="K217">
        <v>7</v>
      </c>
      <c r="L217" t="s">
        <v>92</v>
      </c>
      <c r="M217">
        <v>20</v>
      </c>
      <c r="N217">
        <v>1</v>
      </c>
      <c r="O217" t="s">
        <v>15</v>
      </c>
      <c r="P217">
        <v>1</v>
      </c>
      <c r="Q217" t="s">
        <v>90</v>
      </c>
      <c r="R217" t="s">
        <v>106</v>
      </c>
    </row>
    <row r="218" spans="1:18">
      <c r="A218">
        <v>1427</v>
      </c>
      <c r="B218" t="s">
        <v>105</v>
      </c>
      <c r="C218">
        <v>17</v>
      </c>
      <c r="D218">
        <v>11</v>
      </c>
      <c r="E218" t="s">
        <v>95</v>
      </c>
      <c r="F218" t="s">
        <v>90</v>
      </c>
      <c r="G218" t="s">
        <v>15</v>
      </c>
      <c r="H218" t="s">
        <v>91</v>
      </c>
      <c r="I218">
        <v>20</v>
      </c>
      <c r="J218">
        <v>0</v>
      </c>
      <c r="K218">
        <v>7</v>
      </c>
      <c r="L218" t="s">
        <v>92</v>
      </c>
      <c r="M218">
        <v>20</v>
      </c>
      <c r="N218">
        <v>1</v>
      </c>
      <c r="O218" t="s">
        <v>15</v>
      </c>
      <c r="P218">
        <v>1</v>
      </c>
      <c r="Q218" t="s">
        <v>90</v>
      </c>
      <c r="R218" t="s">
        <v>106</v>
      </c>
    </row>
    <row r="219" spans="1:18">
      <c r="A219">
        <v>1428</v>
      </c>
      <c r="B219" t="s">
        <v>105</v>
      </c>
      <c r="C219">
        <v>18</v>
      </c>
      <c r="D219">
        <v>11</v>
      </c>
      <c r="E219" t="s">
        <v>95</v>
      </c>
      <c r="F219" t="s">
        <v>90</v>
      </c>
      <c r="G219" t="s">
        <v>15</v>
      </c>
      <c r="H219" t="s">
        <v>91</v>
      </c>
      <c r="I219">
        <v>20</v>
      </c>
      <c r="J219">
        <v>0</v>
      </c>
      <c r="K219">
        <v>7</v>
      </c>
      <c r="L219" t="s">
        <v>92</v>
      </c>
      <c r="M219">
        <v>20</v>
      </c>
      <c r="N219">
        <v>1</v>
      </c>
      <c r="O219" t="s">
        <v>15</v>
      </c>
      <c r="P219">
        <v>1</v>
      </c>
      <c r="Q219" t="s">
        <v>90</v>
      </c>
      <c r="R219" t="s">
        <v>106</v>
      </c>
    </row>
    <row r="220" spans="1:18">
      <c r="A220">
        <v>1429</v>
      </c>
      <c r="B220" t="s">
        <v>105</v>
      </c>
      <c r="C220">
        <v>19</v>
      </c>
      <c r="D220">
        <v>11</v>
      </c>
      <c r="E220" t="s">
        <v>95</v>
      </c>
      <c r="F220" t="s">
        <v>90</v>
      </c>
      <c r="G220" t="s">
        <v>15</v>
      </c>
      <c r="H220" t="s">
        <v>91</v>
      </c>
      <c r="I220">
        <v>20</v>
      </c>
      <c r="J220">
        <v>0</v>
      </c>
      <c r="K220">
        <v>7</v>
      </c>
      <c r="L220" t="s">
        <v>92</v>
      </c>
      <c r="M220">
        <v>20</v>
      </c>
      <c r="N220">
        <v>1</v>
      </c>
      <c r="O220" t="s">
        <v>15</v>
      </c>
      <c r="P220">
        <v>1</v>
      </c>
      <c r="Q220" t="s">
        <v>90</v>
      </c>
      <c r="R220" t="s">
        <v>106</v>
      </c>
    </row>
    <row r="221" spans="1:18">
      <c r="A221">
        <v>1430</v>
      </c>
      <c r="B221" t="s">
        <v>105</v>
      </c>
      <c r="C221">
        <v>20</v>
      </c>
      <c r="D221">
        <v>11</v>
      </c>
      <c r="E221" t="s">
        <v>95</v>
      </c>
      <c r="F221" t="s">
        <v>90</v>
      </c>
      <c r="G221" t="s">
        <v>15</v>
      </c>
      <c r="H221" t="s">
        <v>91</v>
      </c>
      <c r="I221">
        <v>20</v>
      </c>
      <c r="J221">
        <v>0</v>
      </c>
      <c r="K221">
        <v>7</v>
      </c>
      <c r="L221" t="s">
        <v>92</v>
      </c>
      <c r="M221">
        <v>20</v>
      </c>
      <c r="N221">
        <v>1</v>
      </c>
      <c r="O221" t="s">
        <v>15</v>
      </c>
      <c r="P221">
        <v>1</v>
      </c>
      <c r="Q221" t="s">
        <v>90</v>
      </c>
      <c r="R221" t="s">
        <v>106</v>
      </c>
    </row>
    <row r="222" spans="1:18">
      <c r="A222">
        <v>1431</v>
      </c>
      <c r="B222" t="s">
        <v>105</v>
      </c>
      <c r="C222">
        <v>21</v>
      </c>
      <c r="D222">
        <v>9</v>
      </c>
      <c r="E222" t="s">
        <v>89</v>
      </c>
      <c r="F222" t="s">
        <v>90</v>
      </c>
      <c r="G222" t="s">
        <v>15</v>
      </c>
      <c r="H222" t="s">
        <v>91</v>
      </c>
      <c r="I222">
        <v>20</v>
      </c>
      <c r="J222">
        <v>0</v>
      </c>
      <c r="K222">
        <v>7</v>
      </c>
      <c r="L222" t="s">
        <v>92</v>
      </c>
      <c r="M222">
        <v>20</v>
      </c>
      <c r="N222">
        <v>1</v>
      </c>
      <c r="O222" t="s">
        <v>15</v>
      </c>
      <c r="P222">
        <v>1</v>
      </c>
      <c r="Q222" t="s">
        <v>90</v>
      </c>
      <c r="R222" t="s">
        <v>106</v>
      </c>
    </row>
    <row r="223" spans="1:18">
      <c r="A223">
        <v>1432</v>
      </c>
      <c r="B223" t="s">
        <v>105</v>
      </c>
      <c r="C223">
        <v>22</v>
      </c>
      <c r="D223">
        <v>10</v>
      </c>
      <c r="E223" t="s">
        <v>94</v>
      </c>
      <c r="F223" t="s">
        <v>90</v>
      </c>
      <c r="G223" t="s">
        <v>15</v>
      </c>
      <c r="H223" t="s">
        <v>91</v>
      </c>
      <c r="I223">
        <v>20</v>
      </c>
      <c r="J223">
        <v>0</v>
      </c>
      <c r="K223">
        <v>7</v>
      </c>
      <c r="L223" t="s">
        <v>92</v>
      </c>
      <c r="M223">
        <v>20</v>
      </c>
      <c r="N223">
        <v>1</v>
      </c>
      <c r="O223" t="s">
        <v>15</v>
      </c>
      <c r="P223">
        <v>1</v>
      </c>
      <c r="Q223" t="s">
        <v>90</v>
      </c>
      <c r="R223" t="s">
        <v>106</v>
      </c>
    </row>
    <row r="224" spans="1:18">
      <c r="A224">
        <v>1433</v>
      </c>
      <c r="B224" t="s">
        <v>105</v>
      </c>
      <c r="C224">
        <v>23</v>
      </c>
      <c r="D224">
        <v>9</v>
      </c>
      <c r="E224" t="s">
        <v>89</v>
      </c>
      <c r="F224" t="s">
        <v>90</v>
      </c>
      <c r="G224" t="s">
        <v>15</v>
      </c>
      <c r="H224" t="s">
        <v>91</v>
      </c>
      <c r="I224">
        <v>20</v>
      </c>
      <c r="J224">
        <v>0</v>
      </c>
      <c r="K224">
        <v>7</v>
      </c>
      <c r="L224" t="s">
        <v>92</v>
      </c>
      <c r="M224">
        <v>20</v>
      </c>
      <c r="N224">
        <v>1</v>
      </c>
      <c r="O224" t="s">
        <v>15</v>
      </c>
      <c r="P224">
        <v>1</v>
      </c>
      <c r="Q224" t="s">
        <v>90</v>
      </c>
      <c r="R224" t="s">
        <v>106</v>
      </c>
    </row>
    <row r="225" spans="1:18">
      <c r="A225">
        <v>1434</v>
      </c>
      <c r="B225" t="s">
        <v>105</v>
      </c>
      <c r="C225">
        <v>24</v>
      </c>
      <c r="D225">
        <v>10</v>
      </c>
      <c r="E225" t="s">
        <v>94</v>
      </c>
      <c r="F225" t="s">
        <v>90</v>
      </c>
      <c r="G225" t="s">
        <v>15</v>
      </c>
      <c r="H225" t="s">
        <v>91</v>
      </c>
      <c r="I225">
        <v>20</v>
      </c>
      <c r="J225">
        <v>0</v>
      </c>
      <c r="K225">
        <v>7</v>
      </c>
      <c r="L225" t="s">
        <v>92</v>
      </c>
      <c r="M225">
        <v>20</v>
      </c>
      <c r="N225">
        <v>1</v>
      </c>
      <c r="O225" t="s">
        <v>15</v>
      </c>
      <c r="P225">
        <v>1</v>
      </c>
      <c r="Q225" t="s">
        <v>90</v>
      </c>
      <c r="R225" t="s">
        <v>106</v>
      </c>
    </row>
    <row r="226" spans="1:18">
      <c r="A226">
        <v>1435</v>
      </c>
      <c r="B226" t="s">
        <v>105</v>
      </c>
      <c r="C226">
        <v>25</v>
      </c>
      <c r="D226">
        <v>9</v>
      </c>
      <c r="E226" t="s">
        <v>89</v>
      </c>
      <c r="F226" t="s">
        <v>90</v>
      </c>
      <c r="G226" t="s">
        <v>15</v>
      </c>
      <c r="H226" t="s">
        <v>91</v>
      </c>
      <c r="I226">
        <v>20</v>
      </c>
      <c r="J226">
        <v>0</v>
      </c>
      <c r="K226">
        <v>7</v>
      </c>
      <c r="L226" t="s">
        <v>92</v>
      </c>
      <c r="M226">
        <v>20</v>
      </c>
      <c r="N226">
        <v>1</v>
      </c>
      <c r="O226" t="s">
        <v>15</v>
      </c>
      <c r="P226">
        <v>1</v>
      </c>
      <c r="Q226" t="s">
        <v>90</v>
      </c>
      <c r="R226" t="s">
        <v>106</v>
      </c>
    </row>
    <row r="227" spans="1:18">
      <c r="A227">
        <v>1436</v>
      </c>
      <c r="B227" t="s">
        <v>105</v>
      </c>
      <c r="C227">
        <v>26</v>
      </c>
      <c r="D227">
        <v>10</v>
      </c>
      <c r="E227" t="s">
        <v>94</v>
      </c>
      <c r="F227" t="s">
        <v>90</v>
      </c>
      <c r="G227" t="s">
        <v>15</v>
      </c>
      <c r="H227" t="s">
        <v>91</v>
      </c>
      <c r="I227">
        <v>20</v>
      </c>
      <c r="J227">
        <v>0</v>
      </c>
      <c r="K227">
        <v>7</v>
      </c>
      <c r="L227" t="s">
        <v>92</v>
      </c>
      <c r="M227">
        <v>20</v>
      </c>
      <c r="N227">
        <v>1</v>
      </c>
      <c r="O227" t="s">
        <v>15</v>
      </c>
      <c r="P227">
        <v>1</v>
      </c>
      <c r="Q227" t="s">
        <v>90</v>
      </c>
      <c r="R227" t="s">
        <v>106</v>
      </c>
    </row>
    <row r="228" spans="1:18">
      <c r="A228">
        <v>1437</v>
      </c>
      <c r="B228" t="s">
        <v>105</v>
      </c>
      <c r="C228">
        <v>27</v>
      </c>
      <c r="D228">
        <v>9</v>
      </c>
      <c r="E228" t="s">
        <v>89</v>
      </c>
      <c r="F228" t="s">
        <v>90</v>
      </c>
      <c r="G228" t="s">
        <v>15</v>
      </c>
      <c r="H228" t="s">
        <v>91</v>
      </c>
      <c r="I228">
        <v>20</v>
      </c>
      <c r="J228">
        <v>0</v>
      </c>
      <c r="K228">
        <v>7</v>
      </c>
      <c r="L228" t="s">
        <v>92</v>
      </c>
      <c r="M228">
        <v>20</v>
      </c>
      <c r="N228">
        <v>1</v>
      </c>
      <c r="O228" t="s">
        <v>15</v>
      </c>
      <c r="P228">
        <v>1</v>
      </c>
      <c r="Q228" t="s">
        <v>90</v>
      </c>
      <c r="R228" t="s">
        <v>106</v>
      </c>
    </row>
    <row r="229" spans="1:18">
      <c r="A229">
        <v>1438</v>
      </c>
      <c r="B229" t="s">
        <v>105</v>
      </c>
      <c r="C229">
        <v>28</v>
      </c>
      <c r="D229">
        <v>10</v>
      </c>
      <c r="E229" t="s">
        <v>94</v>
      </c>
      <c r="F229" t="s">
        <v>90</v>
      </c>
      <c r="G229" t="s">
        <v>15</v>
      </c>
      <c r="H229" t="s">
        <v>91</v>
      </c>
      <c r="I229">
        <v>20</v>
      </c>
      <c r="J229">
        <v>0</v>
      </c>
      <c r="K229">
        <v>7</v>
      </c>
      <c r="L229" t="s">
        <v>92</v>
      </c>
      <c r="M229">
        <v>20</v>
      </c>
      <c r="N229">
        <v>1</v>
      </c>
      <c r="O229" t="s">
        <v>15</v>
      </c>
      <c r="P229">
        <v>1</v>
      </c>
      <c r="Q229" t="s">
        <v>90</v>
      </c>
      <c r="R229" t="s">
        <v>106</v>
      </c>
    </row>
    <row r="230" spans="1:18">
      <c r="A230">
        <v>1439</v>
      </c>
      <c r="B230" t="s">
        <v>105</v>
      </c>
      <c r="C230">
        <v>29</v>
      </c>
      <c r="D230">
        <v>9</v>
      </c>
      <c r="E230" t="s">
        <v>89</v>
      </c>
      <c r="F230" t="s">
        <v>90</v>
      </c>
      <c r="G230" t="s">
        <v>15</v>
      </c>
      <c r="H230" t="s">
        <v>91</v>
      </c>
      <c r="I230">
        <v>20</v>
      </c>
      <c r="J230">
        <v>0</v>
      </c>
      <c r="K230">
        <v>7</v>
      </c>
      <c r="L230" t="s">
        <v>92</v>
      </c>
      <c r="M230">
        <v>20</v>
      </c>
      <c r="N230">
        <v>1</v>
      </c>
      <c r="O230" t="s">
        <v>15</v>
      </c>
      <c r="P230">
        <v>1</v>
      </c>
      <c r="Q230" t="s">
        <v>90</v>
      </c>
      <c r="R230" t="s">
        <v>106</v>
      </c>
    </row>
    <row r="231" spans="1:18">
      <c r="A231">
        <v>1440</v>
      </c>
      <c r="B231" t="s">
        <v>105</v>
      </c>
      <c r="C231">
        <v>30</v>
      </c>
      <c r="D231">
        <v>10</v>
      </c>
      <c r="E231" t="s">
        <v>94</v>
      </c>
      <c r="F231" t="s">
        <v>90</v>
      </c>
      <c r="G231" t="s">
        <v>15</v>
      </c>
      <c r="H231" t="s">
        <v>91</v>
      </c>
      <c r="I231">
        <v>20</v>
      </c>
      <c r="J231">
        <v>0</v>
      </c>
      <c r="K231">
        <v>7</v>
      </c>
      <c r="L231" t="s">
        <v>92</v>
      </c>
      <c r="M231">
        <v>20</v>
      </c>
      <c r="N231">
        <v>1</v>
      </c>
      <c r="O231" t="s">
        <v>15</v>
      </c>
      <c r="P231">
        <v>1</v>
      </c>
      <c r="Q231" t="s">
        <v>90</v>
      </c>
      <c r="R231" t="s">
        <v>106</v>
      </c>
    </row>
    <row r="232" spans="1:18">
      <c r="A232">
        <v>1441</v>
      </c>
      <c r="B232" t="s">
        <v>105</v>
      </c>
      <c r="C232">
        <v>31</v>
      </c>
      <c r="D232">
        <v>12</v>
      </c>
      <c r="E232" t="s">
        <v>96</v>
      </c>
      <c r="F232" t="s">
        <v>90</v>
      </c>
      <c r="G232" t="s">
        <v>15</v>
      </c>
      <c r="H232" t="s">
        <v>91</v>
      </c>
      <c r="I232">
        <v>20</v>
      </c>
      <c r="J232">
        <v>0</v>
      </c>
      <c r="K232">
        <v>7</v>
      </c>
      <c r="L232" t="s">
        <v>92</v>
      </c>
      <c r="M232">
        <v>20</v>
      </c>
      <c r="N232">
        <v>1</v>
      </c>
      <c r="O232" t="s">
        <v>15</v>
      </c>
      <c r="P232">
        <v>1</v>
      </c>
      <c r="Q232" t="s">
        <v>90</v>
      </c>
      <c r="R232" t="s">
        <v>106</v>
      </c>
    </row>
    <row r="233" spans="1:18">
      <c r="A233">
        <v>1442</v>
      </c>
      <c r="B233" t="s">
        <v>105</v>
      </c>
      <c r="C233">
        <v>32</v>
      </c>
      <c r="D233">
        <v>12</v>
      </c>
      <c r="E233" t="s">
        <v>96</v>
      </c>
      <c r="F233" t="s">
        <v>90</v>
      </c>
      <c r="G233" t="s">
        <v>15</v>
      </c>
      <c r="H233" t="s">
        <v>91</v>
      </c>
      <c r="I233">
        <v>20</v>
      </c>
      <c r="J233">
        <v>0</v>
      </c>
      <c r="K233">
        <v>7</v>
      </c>
      <c r="L233" t="s">
        <v>92</v>
      </c>
      <c r="M233">
        <v>20</v>
      </c>
      <c r="N233">
        <v>1</v>
      </c>
      <c r="O233" t="s">
        <v>15</v>
      </c>
      <c r="P233">
        <v>1</v>
      </c>
      <c r="Q233" t="s">
        <v>90</v>
      </c>
      <c r="R233" t="s">
        <v>106</v>
      </c>
    </row>
    <row r="234" spans="1:18">
      <c r="A234">
        <v>1443</v>
      </c>
      <c r="B234" t="s">
        <v>105</v>
      </c>
      <c r="C234">
        <v>33</v>
      </c>
      <c r="D234">
        <v>12</v>
      </c>
      <c r="E234" t="s">
        <v>96</v>
      </c>
      <c r="F234" t="s">
        <v>90</v>
      </c>
      <c r="G234" t="s">
        <v>15</v>
      </c>
      <c r="H234" t="s">
        <v>91</v>
      </c>
      <c r="I234">
        <v>20</v>
      </c>
      <c r="J234">
        <v>0</v>
      </c>
      <c r="K234">
        <v>7</v>
      </c>
      <c r="L234" t="s">
        <v>92</v>
      </c>
      <c r="M234">
        <v>20</v>
      </c>
      <c r="N234">
        <v>1</v>
      </c>
      <c r="O234" t="s">
        <v>15</v>
      </c>
      <c r="P234">
        <v>1</v>
      </c>
      <c r="Q234" t="s">
        <v>90</v>
      </c>
      <c r="R234" t="s">
        <v>106</v>
      </c>
    </row>
    <row r="235" spans="1:18">
      <c r="A235">
        <v>1444</v>
      </c>
      <c r="B235" t="s">
        <v>105</v>
      </c>
      <c r="C235">
        <v>34</v>
      </c>
      <c r="D235">
        <v>12</v>
      </c>
      <c r="E235" t="s">
        <v>96</v>
      </c>
      <c r="F235" t="s">
        <v>90</v>
      </c>
      <c r="G235" t="s">
        <v>15</v>
      </c>
      <c r="H235" t="s">
        <v>91</v>
      </c>
      <c r="I235">
        <v>20</v>
      </c>
      <c r="J235">
        <v>0</v>
      </c>
      <c r="K235">
        <v>7</v>
      </c>
      <c r="L235" t="s">
        <v>92</v>
      </c>
      <c r="M235">
        <v>20</v>
      </c>
      <c r="N235">
        <v>1</v>
      </c>
      <c r="O235" t="s">
        <v>15</v>
      </c>
      <c r="P235">
        <v>1</v>
      </c>
      <c r="Q235" t="s">
        <v>90</v>
      </c>
      <c r="R235" t="s">
        <v>106</v>
      </c>
    </row>
    <row r="236" spans="1:18">
      <c r="A236">
        <v>1445</v>
      </c>
      <c r="B236" t="s">
        <v>105</v>
      </c>
      <c r="C236">
        <v>35</v>
      </c>
      <c r="D236">
        <v>12</v>
      </c>
      <c r="E236" t="s">
        <v>96</v>
      </c>
      <c r="F236" t="s">
        <v>90</v>
      </c>
      <c r="G236" t="s">
        <v>15</v>
      </c>
      <c r="H236" t="s">
        <v>91</v>
      </c>
      <c r="I236">
        <v>20</v>
      </c>
      <c r="J236">
        <v>0</v>
      </c>
      <c r="K236">
        <v>7</v>
      </c>
      <c r="L236" t="s">
        <v>92</v>
      </c>
      <c r="M236">
        <v>20</v>
      </c>
      <c r="N236">
        <v>1</v>
      </c>
      <c r="O236" t="s">
        <v>15</v>
      </c>
      <c r="P236">
        <v>1</v>
      </c>
      <c r="Q236" t="s">
        <v>90</v>
      </c>
      <c r="R236" t="s">
        <v>106</v>
      </c>
    </row>
    <row r="237" spans="1:18">
      <c r="A237">
        <v>1446</v>
      </c>
      <c r="B237" t="s">
        <v>105</v>
      </c>
      <c r="C237">
        <v>36</v>
      </c>
      <c r="D237">
        <v>12</v>
      </c>
      <c r="E237" t="s">
        <v>96</v>
      </c>
      <c r="F237" t="s">
        <v>90</v>
      </c>
      <c r="G237" t="s">
        <v>15</v>
      </c>
      <c r="H237" t="s">
        <v>91</v>
      </c>
      <c r="I237">
        <v>20</v>
      </c>
      <c r="J237">
        <v>0</v>
      </c>
      <c r="K237">
        <v>7</v>
      </c>
      <c r="L237" t="s">
        <v>92</v>
      </c>
      <c r="M237">
        <v>20</v>
      </c>
      <c r="N237">
        <v>1</v>
      </c>
      <c r="O237" t="s">
        <v>15</v>
      </c>
      <c r="P237">
        <v>1</v>
      </c>
      <c r="Q237" t="s">
        <v>90</v>
      </c>
      <c r="R237" t="s">
        <v>106</v>
      </c>
    </row>
    <row r="238" spans="1:18">
      <c r="A238">
        <v>1447</v>
      </c>
      <c r="B238" t="s">
        <v>105</v>
      </c>
      <c r="C238">
        <v>37</v>
      </c>
      <c r="D238">
        <v>12</v>
      </c>
      <c r="E238" t="s">
        <v>96</v>
      </c>
      <c r="F238" t="s">
        <v>90</v>
      </c>
      <c r="G238" t="s">
        <v>15</v>
      </c>
      <c r="H238" t="s">
        <v>91</v>
      </c>
      <c r="I238">
        <v>20</v>
      </c>
      <c r="J238">
        <v>0</v>
      </c>
      <c r="K238">
        <v>7</v>
      </c>
      <c r="L238" t="s">
        <v>92</v>
      </c>
      <c r="M238">
        <v>20</v>
      </c>
      <c r="N238">
        <v>1</v>
      </c>
      <c r="O238" t="s">
        <v>15</v>
      </c>
      <c r="P238">
        <v>1</v>
      </c>
      <c r="Q238" t="s">
        <v>90</v>
      </c>
      <c r="R238" t="s">
        <v>106</v>
      </c>
    </row>
    <row r="239" spans="1:18">
      <c r="A239">
        <v>1448</v>
      </c>
      <c r="B239" t="s">
        <v>105</v>
      </c>
      <c r="C239">
        <v>38</v>
      </c>
      <c r="D239">
        <v>12</v>
      </c>
      <c r="E239" t="s">
        <v>96</v>
      </c>
      <c r="F239" t="s">
        <v>90</v>
      </c>
      <c r="G239" t="s">
        <v>15</v>
      </c>
      <c r="H239" t="s">
        <v>91</v>
      </c>
      <c r="I239">
        <v>20</v>
      </c>
      <c r="J239">
        <v>0</v>
      </c>
      <c r="K239">
        <v>7</v>
      </c>
      <c r="L239" t="s">
        <v>92</v>
      </c>
      <c r="M239">
        <v>20</v>
      </c>
      <c r="N239">
        <v>1</v>
      </c>
      <c r="O239" t="s">
        <v>15</v>
      </c>
      <c r="P239">
        <v>1</v>
      </c>
      <c r="Q239" t="s">
        <v>90</v>
      </c>
      <c r="R239" t="s">
        <v>106</v>
      </c>
    </row>
    <row r="240" spans="1:18">
      <c r="A240">
        <v>1449</v>
      </c>
      <c r="B240" t="s">
        <v>105</v>
      </c>
      <c r="C240">
        <v>39</v>
      </c>
      <c r="D240">
        <v>12</v>
      </c>
      <c r="E240" t="s">
        <v>96</v>
      </c>
      <c r="F240" t="s">
        <v>90</v>
      </c>
      <c r="G240" t="s">
        <v>15</v>
      </c>
      <c r="H240" t="s">
        <v>91</v>
      </c>
      <c r="I240">
        <v>20</v>
      </c>
      <c r="J240">
        <v>0</v>
      </c>
      <c r="K240">
        <v>7</v>
      </c>
      <c r="L240" t="s">
        <v>92</v>
      </c>
      <c r="M240">
        <v>20</v>
      </c>
      <c r="N240">
        <v>1</v>
      </c>
      <c r="O240" t="s">
        <v>15</v>
      </c>
      <c r="P240">
        <v>1</v>
      </c>
      <c r="Q240" t="s">
        <v>90</v>
      </c>
      <c r="R240" t="s">
        <v>106</v>
      </c>
    </row>
    <row r="241" spans="1:18">
      <c r="A241">
        <v>1450</v>
      </c>
      <c r="B241" t="s">
        <v>105</v>
      </c>
      <c r="C241">
        <v>40</v>
      </c>
      <c r="D241">
        <v>12</v>
      </c>
      <c r="E241" t="s">
        <v>96</v>
      </c>
      <c r="F241" t="s">
        <v>90</v>
      </c>
      <c r="G241" t="s">
        <v>15</v>
      </c>
      <c r="H241" t="s">
        <v>91</v>
      </c>
      <c r="I241">
        <v>20</v>
      </c>
      <c r="J241">
        <v>0</v>
      </c>
      <c r="K241">
        <v>7</v>
      </c>
      <c r="L241" t="s">
        <v>92</v>
      </c>
      <c r="M241">
        <v>20</v>
      </c>
      <c r="N241">
        <v>1</v>
      </c>
      <c r="O241" t="s">
        <v>15</v>
      </c>
      <c r="P241">
        <v>1</v>
      </c>
      <c r="Q241" t="s">
        <v>90</v>
      </c>
      <c r="R241" t="s">
        <v>106</v>
      </c>
    </row>
    <row r="242" spans="1:18">
      <c r="A242">
        <v>1451</v>
      </c>
      <c r="B242" t="s">
        <v>107</v>
      </c>
      <c r="C242">
        <v>1</v>
      </c>
      <c r="D242">
        <v>9</v>
      </c>
      <c r="E242" t="s">
        <v>89</v>
      </c>
      <c r="F242" t="s">
        <v>90</v>
      </c>
      <c r="G242" t="s">
        <v>15</v>
      </c>
      <c r="H242" t="s">
        <v>91</v>
      </c>
      <c r="I242">
        <v>20</v>
      </c>
      <c r="J242">
        <v>0</v>
      </c>
      <c r="K242">
        <v>7</v>
      </c>
      <c r="L242" t="s">
        <v>92</v>
      </c>
      <c r="M242">
        <v>21</v>
      </c>
      <c r="N242">
        <v>1</v>
      </c>
      <c r="O242" t="s">
        <v>15</v>
      </c>
      <c r="P242">
        <v>1</v>
      </c>
      <c r="Q242" t="s">
        <v>90</v>
      </c>
      <c r="R242" t="s">
        <v>6</v>
      </c>
    </row>
    <row r="243" spans="1:18">
      <c r="A243">
        <v>1452</v>
      </c>
      <c r="B243" t="s">
        <v>107</v>
      </c>
      <c r="C243">
        <v>2</v>
      </c>
      <c r="D243">
        <v>10</v>
      </c>
      <c r="E243" t="s">
        <v>94</v>
      </c>
      <c r="F243" t="s">
        <v>90</v>
      </c>
      <c r="G243" t="s">
        <v>15</v>
      </c>
      <c r="H243" t="s">
        <v>91</v>
      </c>
      <c r="I243">
        <v>20</v>
      </c>
      <c r="J243">
        <v>0</v>
      </c>
      <c r="K243">
        <v>7</v>
      </c>
      <c r="L243" t="s">
        <v>92</v>
      </c>
      <c r="M243">
        <v>21</v>
      </c>
      <c r="N243">
        <v>1</v>
      </c>
      <c r="O243" t="s">
        <v>15</v>
      </c>
      <c r="P243">
        <v>1</v>
      </c>
      <c r="Q243" t="s">
        <v>90</v>
      </c>
      <c r="R243" t="s">
        <v>6</v>
      </c>
    </row>
    <row r="244" spans="1:18">
      <c r="A244">
        <v>1453</v>
      </c>
      <c r="B244" t="s">
        <v>107</v>
      </c>
      <c r="C244">
        <v>3</v>
      </c>
      <c r="D244">
        <v>9</v>
      </c>
      <c r="E244" t="s">
        <v>89</v>
      </c>
      <c r="F244" t="s">
        <v>90</v>
      </c>
      <c r="G244" t="s">
        <v>15</v>
      </c>
      <c r="H244" t="s">
        <v>91</v>
      </c>
      <c r="I244">
        <v>20</v>
      </c>
      <c r="J244">
        <v>0</v>
      </c>
      <c r="K244">
        <v>7</v>
      </c>
      <c r="L244" t="s">
        <v>92</v>
      </c>
      <c r="M244">
        <v>21</v>
      </c>
      <c r="N244">
        <v>1</v>
      </c>
      <c r="O244" t="s">
        <v>15</v>
      </c>
      <c r="P244">
        <v>1</v>
      </c>
      <c r="Q244" t="s">
        <v>90</v>
      </c>
      <c r="R244" t="s">
        <v>6</v>
      </c>
    </row>
    <row r="245" spans="1:18">
      <c r="A245">
        <v>1454</v>
      </c>
      <c r="B245" t="s">
        <v>107</v>
      </c>
      <c r="C245">
        <v>4</v>
      </c>
      <c r="D245">
        <v>9</v>
      </c>
      <c r="E245" t="s">
        <v>89</v>
      </c>
      <c r="F245" t="s">
        <v>90</v>
      </c>
      <c r="G245" t="s">
        <v>15</v>
      </c>
      <c r="H245" t="s">
        <v>91</v>
      </c>
      <c r="I245">
        <v>20</v>
      </c>
      <c r="J245">
        <v>0</v>
      </c>
      <c r="K245">
        <v>7</v>
      </c>
      <c r="L245" t="s">
        <v>92</v>
      </c>
      <c r="M245">
        <v>21</v>
      </c>
      <c r="N245">
        <v>1</v>
      </c>
      <c r="O245" t="s">
        <v>15</v>
      </c>
      <c r="P245">
        <v>1</v>
      </c>
      <c r="Q245" t="s">
        <v>90</v>
      </c>
      <c r="R245" t="s">
        <v>6</v>
      </c>
    </row>
    <row r="246" spans="1:18">
      <c r="A246">
        <v>1455</v>
      </c>
      <c r="B246" t="s">
        <v>107</v>
      </c>
      <c r="C246">
        <v>5</v>
      </c>
      <c r="D246">
        <v>9</v>
      </c>
      <c r="E246" t="s">
        <v>89</v>
      </c>
      <c r="F246" t="s">
        <v>90</v>
      </c>
      <c r="G246" t="s">
        <v>15</v>
      </c>
      <c r="H246" t="s">
        <v>91</v>
      </c>
      <c r="I246">
        <v>20</v>
      </c>
      <c r="J246">
        <v>0</v>
      </c>
      <c r="K246">
        <v>7</v>
      </c>
      <c r="L246" t="s">
        <v>92</v>
      </c>
      <c r="M246">
        <v>21</v>
      </c>
      <c r="N246">
        <v>1</v>
      </c>
      <c r="O246" t="s">
        <v>15</v>
      </c>
      <c r="P246">
        <v>1</v>
      </c>
      <c r="Q246" t="s">
        <v>90</v>
      </c>
      <c r="R246" t="s">
        <v>6</v>
      </c>
    </row>
    <row r="247" spans="1:18">
      <c r="A247">
        <v>1456</v>
      </c>
      <c r="B247" t="s">
        <v>107</v>
      </c>
      <c r="C247">
        <v>6</v>
      </c>
      <c r="D247">
        <v>10</v>
      </c>
      <c r="E247" t="s">
        <v>94</v>
      </c>
      <c r="F247" t="s">
        <v>90</v>
      </c>
      <c r="G247" t="s">
        <v>15</v>
      </c>
      <c r="H247" t="s">
        <v>91</v>
      </c>
      <c r="I247">
        <v>20</v>
      </c>
      <c r="J247">
        <v>0</v>
      </c>
      <c r="K247">
        <v>7</v>
      </c>
      <c r="L247" t="s">
        <v>92</v>
      </c>
      <c r="M247">
        <v>21</v>
      </c>
      <c r="N247">
        <v>1</v>
      </c>
      <c r="O247" t="s">
        <v>15</v>
      </c>
      <c r="P247">
        <v>1</v>
      </c>
      <c r="Q247" t="s">
        <v>90</v>
      </c>
      <c r="R247" t="s">
        <v>6</v>
      </c>
    </row>
    <row r="248" spans="1:18">
      <c r="A248">
        <v>1457</v>
      </c>
      <c r="B248" t="s">
        <v>107</v>
      </c>
      <c r="C248">
        <v>7</v>
      </c>
      <c r="D248">
        <v>10</v>
      </c>
      <c r="E248" t="s">
        <v>94</v>
      </c>
      <c r="F248" t="s">
        <v>90</v>
      </c>
      <c r="G248" t="s">
        <v>15</v>
      </c>
      <c r="H248" t="s">
        <v>91</v>
      </c>
      <c r="I248">
        <v>20</v>
      </c>
      <c r="J248">
        <v>0</v>
      </c>
      <c r="K248">
        <v>7</v>
      </c>
      <c r="L248" t="s">
        <v>92</v>
      </c>
      <c r="M248">
        <v>21</v>
      </c>
      <c r="N248">
        <v>1</v>
      </c>
      <c r="O248" t="s">
        <v>15</v>
      </c>
      <c r="P248">
        <v>1</v>
      </c>
      <c r="Q248" t="s">
        <v>90</v>
      </c>
      <c r="R248" t="s">
        <v>6</v>
      </c>
    </row>
    <row r="249" spans="1:18">
      <c r="A249">
        <v>1458</v>
      </c>
      <c r="B249" t="s">
        <v>107</v>
      </c>
      <c r="C249">
        <v>8</v>
      </c>
      <c r="D249">
        <v>10</v>
      </c>
      <c r="E249" t="s">
        <v>94</v>
      </c>
      <c r="F249" t="s">
        <v>90</v>
      </c>
      <c r="G249" t="s">
        <v>15</v>
      </c>
      <c r="H249" t="s">
        <v>91</v>
      </c>
      <c r="I249">
        <v>20</v>
      </c>
      <c r="J249">
        <v>0</v>
      </c>
      <c r="K249">
        <v>7</v>
      </c>
      <c r="L249" t="s">
        <v>92</v>
      </c>
      <c r="M249">
        <v>21</v>
      </c>
      <c r="N249">
        <v>1</v>
      </c>
      <c r="O249" t="s">
        <v>15</v>
      </c>
      <c r="P249">
        <v>1</v>
      </c>
      <c r="Q249" t="s">
        <v>90</v>
      </c>
      <c r="R249" t="s">
        <v>6</v>
      </c>
    </row>
    <row r="250" spans="1:18">
      <c r="A250">
        <v>1459</v>
      </c>
      <c r="B250" t="s">
        <v>107</v>
      </c>
      <c r="C250">
        <v>9</v>
      </c>
      <c r="D250">
        <v>10</v>
      </c>
      <c r="E250" t="s">
        <v>94</v>
      </c>
      <c r="F250" t="s">
        <v>90</v>
      </c>
      <c r="G250" t="s">
        <v>15</v>
      </c>
      <c r="H250" t="s">
        <v>91</v>
      </c>
      <c r="I250">
        <v>20</v>
      </c>
      <c r="J250">
        <v>0</v>
      </c>
      <c r="K250">
        <v>7</v>
      </c>
      <c r="L250" t="s">
        <v>92</v>
      </c>
      <c r="M250">
        <v>21</v>
      </c>
      <c r="N250">
        <v>1</v>
      </c>
      <c r="O250" t="s">
        <v>15</v>
      </c>
      <c r="P250">
        <v>1</v>
      </c>
      <c r="Q250" t="s">
        <v>90</v>
      </c>
      <c r="R250" t="s">
        <v>6</v>
      </c>
    </row>
    <row r="251" spans="1:18">
      <c r="A251">
        <v>1460</v>
      </c>
      <c r="B251" t="s">
        <v>107</v>
      </c>
      <c r="C251">
        <v>10</v>
      </c>
      <c r="D251">
        <v>9</v>
      </c>
      <c r="E251" t="s">
        <v>89</v>
      </c>
      <c r="F251" t="s">
        <v>90</v>
      </c>
      <c r="G251" t="s">
        <v>15</v>
      </c>
      <c r="H251" t="s">
        <v>91</v>
      </c>
      <c r="I251">
        <v>20</v>
      </c>
      <c r="J251">
        <v>0</v>
      </c>
      <c r="K251">
        <v>7</v>
      </c>
      <c r="L251" t="s">
        <v>92</v>
      </c>
      <c r="M251">
        <v>21</v>
      </c>
      <c r="N251">
        <v>1</v>
      </c>
      <c r="O251" t="s">
        <v>15</v>
      </c>
      <c r="P251">
        <v>1</v>
      </c>
      <c r="Q251" t="s">
        <v>90</v>
      </c>
      <c r="R251" t="s">
        <v>6</v>
      </c>
    </row>
    <row r="252" spans="1:18">
      <c r="A252">
        <v>1461</v>
      </c>
      <c r="B252" t="s">
        <v>107</v>
      </c>
      <c r="C252">
        <v>11</v>
      </c>
      <c r="D252">
        <v>11</v>
      </c>
      <c r="E252" t="s">
        <v>95</v>
      </c>
      <c r="F252" t="s">
        <v>90</v>
      </c>
      <c r="G252" t="s">
        <v>15</v>
      </c>
      <c r="H252" t="s">
        <v>91</v>
      </c>
      <c r="I252">
        <v>20</v>
      </c>
      <c r="J252">
        <v>0</v>
      </c>
      <c r="K252">
        <v>7</v>
      </c>
      <c r="L252" t="s">
        <v>92</v>
      </c>
      <c r="M252">
        <v>21</v>
      </c>
      <c r="N252">
        <v>1</v>
      </c>
      <c r="O252" t="s">
        <v>15</v>
      </c>
      <c r="P252">
        <v>1</v>
      </c>
      <c r="Q252" t="s">
        <v>90</v>
      </c>
      <c r="R252" t="s">
        <v>6</v>
      </c>
    </row>
    <row r="253" spans="1:18">
      <c r="A253">
        <v>1462</v>
      </c>
      <c r="B253" t="s">
        <v>107</v>
      </c>
      <c r="C253">
        <v>12</v>
      </c>
      <c r="D253">
        <v>11</v>
      </c>
      <c r="E253" t="s">
        <v>95</v>
      </c>
      <c r="F253" t="s">
        <v>90</v>
      </c>
      <c r="G253" t="s">
        <v>15</v>
      </c>
      <c r="H253" t="s">
        <v>91</v>
      </c>
      <c r="I253">
        <v>20</v>
      </c>
      <c r="J253">
        <v>0</v>
      </c>
      <c r="K253">
        <v>7</v>
      </c>
      <c r="L253" t="s">
        <v>92</v>
      </c>
      <c r="M253">
        <v>21</v>
      </c>
      <c r="N253">
        <v>1</v>
      </c>
      <c r="O253" t="s">
        <v>15</v>
      </c>
      <c r="P253">
        <v>1</v>
      </c>
      <c r="Q253" t="s">
        <v>90</v>
      </c>
      <c r="R253" t="s">
        <v>6</v>
      </c>
    </row>
    <row r="254" spans="1:18">
      <c r="A254">
        <v>1463</v>
      </c>
      <c r="B254" t="s">
        <v>107</v>
      </c>
      <c r="C254">
        <v>13</v>
      </c>
      <c r="D254">
        <v>11</v>
      </c>
      <c r="E254" t="s">
        <v>95</v>
      </c>
      <c r="F254" t="s">
        <v>90</v>
      </c>
      <c r="G254" t="s">
        <v>15</v>
      </c>
      <c r="H254" t="s">
        <v>91</v>
      </c>
      <c r="I254">
        <v>20</v>
      </c>
      <c r="J254">
        <v>0</v>
      </c>
      <c r="K254">
        <v>7</v>
      </c>
      <c r="L254" t="s">
        <v>92</v>
      </c>
      <c r="M254">
        <v>21</v>
      </c>
      <c r="N254">
        <v>1</v>
      </c>
      <c r="O254" t="s">
        <v>15</v>
      </c>
      <c r="P254">
        <v>1</v>
      </c>
      <c r="Q254" t="s">
        <v>90</v>
      </c>
      <c r="R254" t="s">
        <v>6</v>
      </c>
    </row>
    <row r="255" spans="1:18">
      <c r="A255">
        <v>1464</v>
      </c>
      <c r="B255" t="s">
        <v>107</v>
      </c>
      <c r="C255">
        <v>14</v>
      </c>
      <c r="D255">
        <v>11</v>
      </c>
      <c r="E255" t="s">
        <v>95</v>
      </c>
      <c r="F255" t="s">
        <v>90</v>
      </c>
      <c r="G255" t="s">
        <v>15</v>
      </c>
      <c r="H255" t="s">
        <v>91</v>
      </c>
      <c r="I255">
        <v>20</v>
      </c>
      <c r="J255">
        <v>0</v>
      </c>
      <c r="K255">
        <v>7</v>
      </c>
      <c r="L255" t="s">
        <v>92</v>
      </c>
      <c r="M255">
        <v>21</v>
      </c>
      <c r="N255">
        <v>1</v>
      </c>
      <c r="O255" t="s">
        <v>15</v>
      </c>
      <c r="P255">
        <v>1</v>
      </c>
      <c r="Q255" t="s">
        <v>90</v>
      </c>
      <c r="R255" t="s">
        <v>6</v>
      </c>
    </row>
    <row r="256" spans="1:18">
      <c r="A256">
        <v>1465</v>
      </c>
      <c r="B256" t="s">
        <v>107</v>
      </c>
      <c r="C256">
        <v>15</v>
      </c>
      <c r="D256">
        <v>11</v>
      </c>
      <c r="E256" t="s">
        <v>95</v>
      </c>
      <c r="F256" t="s">
        <v>90</v>
      </c>
      <c r="G256" t="s">
        <v>15</v>
      </c>
      <c r="H256" t="s">
        <v>91</v>
      </c>
      <c r="I256">
        <v>20</v>
      </c>
      <c r="J256">
        <v>0</v>
      </c>
      <c r="K256">
        <v>7</v>
      </c>
      <c r="L256" t="s">
        <v>92</v>
      </c>
      <c r="M256">
        <v>21</v>
      </c>
      <c r="N256">
        <v>1</v>
      </c>
      <c r="O256" t="s">
        <v>15</v>
      </c>
      <c r="P256">
        <v>1</v>
      </c>
      <c r="Q256" t="s">
        <v>90</v>
      </c>
      <c r="R256" t="s">
        <v>6</v>
      </c>
    </row>
    <row r="257" spans="1:18">
      <c r="A257">
        <v>1466</v>
      </c>
      <c r="B257" t="s">
        <v>107</v>
      </c>
      <c r="C257">
        <v>16</v>
      </c>
      <c r="D257">
        <v>11</v>
      </c>
      <c r="E257" t="s">
        <v>95</v>
      </c>
      <c r="F257" t="s">
        <v>90</v>
      </c>
      <c r="G257" t="s">
        <v>15</v>
      </c>
      <c r="H257" t="s">
        <v>91</v>
      </c>
      <c r="I257">
        <v>20</v>
      </c>
      <c r="J257">
        <v>0</v>
      </c>
      <c r="K257">
        <v>7</v>
      </c>
      <c r="L257" t="s">
        <v>92</v>
      </c>
      <c r="M257">
        <v>21</v>
      </c>
      <c r="N257">
        <v>1</v>
      </c>
      <c r="O257" t="s">
        <v>15</v>
      </c>
      <c r="P257">
        <v>1</v>
      </c>
      <c r="Q257" t="s">
        <v>90</v>
      </c>
      <c r="R257" t="s">
        <v>6</v>
      </c>
    </row>
    <row r="258" spans="1:18">
      <c r="A258">
        <v>1467</v>
      </c>
      <c r="B258" t="s">
        <v>107</v>
      </c>
      <c r="C258">
        <v>17</v>
      </c>
      <c r="D258">
        <v>11</v>
      </c>
      <c r="E258" t="s">
        <v>95</v>
      </c>
      <c r="F258" t="s">
        <v>90</v>
      </c>
      <c r="G258" t="s">
        <v>15</v>
      </c>
      <c r="H258" t="s">
        <v>91</v>
      </c>
      <c r="I258">
        <v>20</v>
      </c>
      <c r="J258">
        <v>0</v>
      </c>
      <c r="K258">
        <v>7</v>
      </c>
      <c r="L258" t="s">
        <v>92</v>
      </c>
      <c r="M258">
        <v>21</v>
      </c>
      <c r="N258">
        <v>1</v>
      </c>
      <c r="O258" t="s">
        <v>15</v>
      </c>
      <c r="P258">
        <v>1</v>
      </c>
      <c r="Q258" t="s">
        <v>90</v>
      </c>
      <c r="R258" t="s">
        <v>6</v>
      </c>
    </row>
    <row r="259" spans="1:18">
      <c r="A259">
        <v>1468</v>
      </c>
      <c r="B259" t="s">
        <v>107</v>
      </c>
      <c r="C259">
        <v>18</v>
      </c>
      <c r="D259">
        <v>11</v>
      </c>
      <c r="E259" t="s">
        <v>95</v>
      </c>
      <c r="F259" t="s">
        <v>90</v>
      </c>
      <c r="G259" t="s">
        <v>15</v>
      </c>
      <c r="H259" t="s">
        <v>91</v>
      </c>
      <c r="I259">
        <v>20</v>
      </c>
      <c r="J259">
        <v>0</v>
      </c>
      <c r="K259">
        <v>7</v>
      </c>
      <c r="L259" t="s">
        <v>92</v>
      </c>
      <c r="M259">
        <v>21</v>
      </c>
      <c r="N259">
        <v>1</v>
      </c>
      <c r="O259" t="s">
        <v>15</v>
      </c>
      <c r="P259">
        <v>1</v>
      </c>
      <c r="Q259" t="s">
        <v>90</v>
      </c>
      <c r="R259" t="s">
        <v>6</v>
      </c>
    </row>
    <row r="260" spans="1:18">
      <c r="A260">
        <v>1469</v>
      </c>
      <c r="B260" t="s">
        <v>107</v>
      </c>
      <c r="C260">
        <v>19</v>
      </c>
      <c r="D260">
        <v>11</v>
      </c>
      <c r="E260" t="s">
        <v>95</v>
      </c>
      <c r="F260" t="s">
        <v>90</v>
      </c>
      <c r="G260" t="s">
        <v>15</v>
      </c>
      <c r="H260" t="s">
        <v>91</v>
      </c>
      <c r="I260">
        <v>20</v>
      </c>
      <c r="J260">
        <v>0</v>
      </c>
      <c r="K260">
        <v>7</v>
      </c>
      <c r="L260" t="s">
        <v>92</v>
      </c>
      <c r="M260">
        <v>21</v>
      </c>
      <c r="N260">
        <v>1</v>
      </c>
      <c r="O260" t="s">
        <v>15</v>
      </c>
      <c r="P260">
        <v>1</v>
      </c>
      <c r="Q260" t="s">
        <v>90</v>
      </c>
      <c r="R260" t="s">
        <v>6</v>
      </c>
    </row>
    <row r="261" spans="1:18">
      <c r="A261">
        <v>1470</v>
      </c>
      <c r="B261" t="s">
        <v>107</v>
      </c>
      <c r="C261">
        <v>20</v>
      </c>
      <c r="D261">
        <v>11</v>
      </c>
      <c r="E261" t="s">
        <v>95</v>
      </c>
      <c r="F261" t="s">
        <v>90</v>
      </c>
      <c r="G261" t="s">
        <v>15</v>
      </c>
      <c r="H261" t="s">
        <v>91</v>
      </c>
      <c r="I261">
        <v>20</v>
      </c>
      <c r="J261">
        <v>0</v>
      </c>
      <c r="K261">
        <v>7</v>
      </c>
      <c r="L261" t="s">
        <v>92</v>
      </c>
      <c r="M261">
        <v>21</v>
      </c>
      <c r="N261">
        <v>1</v>
      </c>
      <c r="O261" t="s">
        <v>15</v>
      </c>
      <c r="P261">
        <v>1</v>
      </c>
      <c r="Q261" t="s">
        <v>90</v>
      </c>
      <c r="R261" t="s">
        <v>6</v>
      </c>
    </row>
    <row r="262" spans="1:18">
      <c r="A262">
        <v>1471</v>
      </c>
      <c r="B262" t="s">
        <v>107</v>
      </c>
      <c r="C262">
        <v>21</v>
      </c>
      <c r="D262">
        <v>9</v>
      </c>
      <c r="E262" t="s">
        <v>89</v>
      </c>
      <c r="F262" t="s">
        <v>90</v>
      </c>
      <c r="G262" t="s">
        <v>15</v>
      </c>
      <c r="H262" t="s">
        <v>91</v>
      </c>
      <c r="I262">
        <v>20</v>
      </c>
      <c r="J262">
        <v>0</v>
      </c>
      <c r="K262">
        <v>7</v>
      </c>
      <c r="L262" t="s">
        <v>92</v>
      </c>
      <c r="M262">
        <v>21</v>
      </c>
      <c r="N262">
        <v>1</v>
      </c>
      <c r="O262" t="s">
        <v>15</v>
      </c>
      <c r="P262">
        <v>1</v>
      </c>
      <c r="Q262" t="s">
        <v>90</v>
      </c>
      <c r="R262" t="s">
        <v>6</v>
      </c>
    </row>
    <row r="263" spans="1:18">
      <c r="A263">
        <v>1472</v>
      </c>
      <c r="B263" t="s">
        <v>107</v>
      </c>
      <c r="C263">
        <v>22</v>
      </c>
      <c r="D263">
        <v>10</v>
      </c>
      <c r="E263" t="s">
        <v>94</v>
      </c>
      <c r="F263" t="s">
        <v>90</v>
      </c>
      <c r="G263" t="s">
        <v>15</v>
      </c>
      <c r="H263" t="s">
        <v>91</v>
      </c>
      <c r="I263">
        <v>20</v>
      </c>
      <c r="J263">
        <v>0</v>
      </c>
      <c r="K263">
        <v>7</v>
      </c>
      <c r="L263" t="s">
        <v>92</v>
      </c>
      <c r="M263">
        <v>21</v>
      </c>
      <c r="N263">
        <v>1</v>
      </c>
      <c r="O263" t="s">
        <v>15</v>
      </c>
      <c r="P263">
        <v>1</v>
      </c>
      <c r="Q263" t="s">
        <v>90</v>
      </c>
      <c r="R263" t="s">
        <v>6</v>
      </c>
    </row>
    <row r="264" spans="1:18">
      <c r="A264">
        <v>1473</v>
      </c>
      <c r="B264" t="s">
        <v>107</v>
      </c>
      <c r="C264">
        <v>23</v>
      </c>
      <c r="D264">
        <v>9</v>
      </c>
      <c r="E264" t="s">
        <v>89</v>
      </c>
      <c r="F264" t="s">
        <v>90</v>
      </c>
      <c r="G264" t="s">
        <v>15</v>
      </c>
      <c r="H264" t="s">
        <v>91</v>
      </c>
      <c r="I264">
        <v>20</v>
      </c>
      <c r="J264">
        <v>0</v>
      </c>
      <c r="K264">
        <v>7</v>
      </c>
      <c r="L264" t="s">
        <v>92</v>
      </c>
      <c r="M264">
        <v>21</v>
      </c>
      <c r="N264">
        <v>1</v>
      </c>
      <c r="O264" t="s">
        <v>15</v>
      </c>
      <c r="P264">
        <v>1</v>
      </c>
      <c r="Q264" t="s">
        <v>90</v>
      </c>
      <c r="R264" t="s">
        <v>6</v>
      </c>
    </row>
    <row r="265" spans="1:18">
      <c r="A265">
        <v>1474</v>
      </c>
      <c r="B265" t="s">
        <v>107</v>
      </c>
      <c r="C265">
        <v>24</v>
      </c>
      <c r="D265">
        <v>10</v>
      </c>
      <c r="E265" t="s">
        <v>94</v>
      </c>
      <c r="F265" t="s">
        <v>90</v>
      </c>
      <c r="G265" t="s">
        <v>15</v>
      </c>
      <c r="H265" t="s">
        <v>91</v>
      </c>
      <c r="I265">
        <v>20</v>
      </c>
      <c r="J265">
        <v>0</v>
      </c>
      <c r="K265">
        <v>7</v>
      </c>
      <c r="L265" t="s">
        <v>92</v>
      </c>
      <c r="M265">
        <v>21</v>
      </c>
      <c r="N265">
        <v>1</v>
      </c>
      <c r="O265" t="s">
        <v>15</v>
      </c>
      <c r="P265">
        <v>1</v>
      </c>
      <c r="Q265" t="s">
        <v>90</v>
      </c>
      <c r="R265" t="s">
        <v>6</v>
      </c>
    </row>
    <row r="266" spans="1:18">
      <c r="A266">
        <v>1475</v>
      </c>
      <c r="B266" t="s">
        <v>107</v>
      </c>
      <c r="C266">
        <v>25</v>
      </c>
      <c r="D266">
        <v>9</v>
      </c>
      <c r="E266" t="s">
        <v>89</v>
      </c>
      <c r="F266" t="s">
        <v>90</v>
      </c>
      <c r="G266" t="s">
        <v>15</v>
      </c>
      <c r="H266" t="s">
        <v>91</v>
      </c>
      <c r="I266">
        <v>20</v>
      </c>
      <c r="J266">
        <v>0</v>
      </c>
      <c r="K266">
        <v>7</v>
      </c>
      <c r="L266" t="s">
        <v>92</v>
      </c>
      <c r="M266">
        <v>21</v>
      </c>
      <c r="N266">
        <v>1</v>
      </c>
      <c r="O266" t="s">
        <v>15</v>
      </c>
      <c r="P266">
        <v>1</v>
      </c>
      <c r="Q266" t="s">
        <v>90</v>
      </c>
      <c r="R266" t="s">
        <v>6</v>
      </c>
    </row>
    <row r="267" spans="1:18">
      <c r="A267">
        <v>1476</v>
      </c>
      <c r="B267" t="s">
        <v>107</v>
      </c>
      <c r="C267">
        <v>26</v>
      </c>
      <c r="D267">
        <v>10</v>
      </c>
      <c r="E267" t="s">
        <v>94</v>
      </c>
      <c r="F267" t="s">
        <v>90</v>
      </c>
      <c r="G267" t="s">
        <v>15</v>
      </c>
      <c r="H267" t="s">
        <v>91</v>
      </c>
      <c r="I267">
        <v>20</v>
      </c>
      <c r="J267">
        <v>0</v>
      </c>
      <c r="K267">
        <v>7</v>
      </c>
      <c r="L267" t="s">
        <v>92</v>
      </c>
      <c r="M267">
        <v>21</v>
      </c>
      <c r="N267">
        <v>1</v>
      </c>
      <c r="O267" t="s">
        <v>15</v>
      </c>
      <c r="P267">
        <v>1</v>
      </c>
      <c r="Q267" t="s">
        <v>90</v>
      </c>
      <c r="R267" t="s">
        <v>6</v>
      </c>
    </row>
    <row r="268" spans="1:18">
      <c r="A268">
        <v>1477</v>
      </c>
      <c r="B268" t="s">
        <v>107</v>
      </c>
      <c r="C268">
        <v>27</v>
      </c>
      <c r="D268">
        <v>9</v>
      </c>
      <c r="E268" t="s">
        <v>89</v>
      </c>
      <c r="F268" t="s">
        <v>90</v>
      </c>
      <c r="G268" t="s">
        <v>15</v>
      </c>
      <c r="H268" t="s">
        <v>91</v>
      </c>
      <c r="I268">
        <v>20</v>
      </c>
      <c r="J268">
        <v>0</v>
      </c>
      <c r="K268">
        <v>7</v>
      </c>
      <c r="L268" t="s">
        <v>92</v>
      </c>
      <c r="M268">
        <v>21</v>
      </c>
      <c r="N268">
        <v>1</v>
      </c>
      <c r="O268" t="s">
        <v>15</v>
      </c>
      <c r="P268">
        <v>1</v>
      </c>
      <c r="Q268" t="s">
        <v>90</v>
      </c>
      <c r="R268" t="s">
        <v>6</v>
      </c>
    </row>
    <row r="269" spans="1:18">
      <c r="A269">
        <v>1478</v>
      </c>
      <c r="B269" t="s">
        <v>107</v>
      </c>
      <c r="C269">
        <v>28</v>
      </c>
      <c r="D269">
        <v>10</v>
      </c>
      <c r="E269" t="s">
        <v>94</v>
      </c>
      <c r="F269" t="s">
        <v>90</v>
      </c>
      <c r="G269" t="s">
        <v>15</v>
      </c>
      <c r="H269" t="s">
        <v>91</v>
      </c>
      <c r="I269">
        <v>20</v>
      </c>
      <c r="J269">
        <v>0</v>
      </c>
      <c r="K269">
        <v>7</v>
      </c>
      <c r="L269" t="s">
        <v>92</v>
      </c>
      <c r="M269">
        <v>21</v>
      </c>
      <c r="N269">
        <v>1</v>
      </c>
      <c r="O269" t="s">
        <v>15</v>
      </c>
      <c r="P269">
        <v>1</v>
      </c>
      <c r="Q269" t="s">
        <v>90</v>
      </c>
      <c r="R269" t="s">
        <v>6</v>
      </c>
    </row>
    <row r="270" spans="1:18">
      <c r="A270">
        <v>1479</v>
      </c>
      <c r="B270" t="s">
        <v>107</v>
      </c>
      <c r="C270">
        <v>29</v>
      </c>
      <c r="D270">
        <v>9</v>
      </c>
      <c r="E270" t="s">
        <v>89</v>
      </c>
      <c r="F270" t="s">
        <v>90</v>
      </c>
      <c r="G270" t="s">
        <v>15</v>
      </c>
      <c r="H270" t="s">
        <v>91</v>
      </c>
      <c r="I270">
        <v>20</v>
      </c>
      <c r="J270">
        <v>0</v>
      </c>
      <c r="K270">
        <v>7</v>
      </c>
      <c r="L270" t="s">
        <v>92</v>
      </c>
      <c r="M270">
        <v>21</v>
      </c>
      <c r="N270">
        <v>1</v>
      </c>
      <c r="O270" t="s">
        <v>15</v>
      </c>
      <c r="P270">
        <v>1</v>
      </c>
      <c r="Q270" t="s">
        <v>90</v>
      </c>
      <c r="R270" t="s">
        <v>6</v>
      </c>
    </row>
    <row r="271" spans="1:18">
      <c r="A271">
        <v>1480</v>
      </c>
      <c r="B271" t="s">
        <v>107</v>
      </c>
      <c r="C271">
        <v>30</v>
      </c>
      <c r="D271">
        <v>10</v>
      </c>
      <c r="E271" t="s">
        <v>94</v>
      </c>
      <c r="F271" t="s">
        <v>90</v>
      </c>
      <c r="G271" t="s">
        <v>15</v>
      </c>
      <c r="H271" t="s">
        <v>91</v>
      </c>
      <c r="I271">
        <v>20</v>
      </c>
      <c r="J271">
        <v>0</v>
      </c>
      <c r="K271">
        <v>7</v>
      </c>
      <c r="L271" t="s">
        <v>92</v>
      </c>
      <c r="M271">
        <v>21</v>
      </c>
      <c r="N271">
        <v>1</v>
      </c>
      <c r="O271" t="s">
        <v>15</v>
      </c>
      <c r="P271">
        <v>1</v>
      </c>
      <c r="Q271" t="s">
        <v>90</v>
      </c>
      <c r="R271" t="s">
        <v>6</v>
      </c>
    </row>
    <row r="272" spans="1:18">
      <c r="A272">
        <v>1481</v>
      </c>
      <c r="B272" t="s">
        <v>107</v>
      </c>
      <c r="C272">
        <v>31</v>
      </c>
      <c r="D272">
        <v>12</v>
      </c>
      <c r="E272" t="s">
        <v>96</v>
      </c>
      <c r="F272" t="s">
        <v>90</v>
      </c>
      <c r="G272" t="s">
        <v>15</v>
      </c>
      <c r="H272" t="s">
        <v>91</v>
      </c>
      <c r="I272">
        <v>20</v>
      </c>
      <c r="J272">
        <v>0</v>
      </c>
      <c r="K272">
        <v>7</v>
      </c>
      <c r="L272" t="s">
        <v>92</v>
      </c>
      <c r="M272">
        <v>21</v>
      </c>
      <c r="N272">
        <v>1</v>
      </c>
      <c r="O272" t="s">
        <v>15</v>
      </c>
      <c r="P272">
        <v>1</v>
      </c>
      <c r="Q272" t="s">
        <v>90</v>
      </c>
      <c r="R272" t="s">
        <v>6</v>
      </c>
    </row>
    <row r="273" spans="1:18">
      <c r="A273">
        <v>1482</v>
      </c>
      <c r="B273" t="s">
        <v>107</v>
      </c>
      <c r="C273">
        <v>32</v>
      </c>
      <c r="D273">
        <v>12</v>
      </c>
      <c r="E273" t="s">
        <v>96</v>
      </c>
      <c r="F273" t="s">
        <v>90</v>
      </c>
      <c r="G273" t="s">
        <v>15</v>
      </c>
      <c r="H273" t="s">
        <v>91</v>
      </c>
      <c r="I273">
        <v>20</v>
      </c>
      <c r="J273">
        <v>0</v>
      </c>
      <c r="K273">
        <v>7</v>
      </c>
      <c r="L273" t="s">
        <v>92</v>
      </c>
      <c r="M273">
        <v>21</v>
      </c>
      <c r="N273">
        <v>1</v>
      </c>
      <c r="O273" t="s">
        <v>15</v>
      </c>
      <c r="P273">
        <v>1</v>
      </c>
      <c r="Q273" t="s">
        <v>90</v>
      </c>
      <c r="R273" t="s">
        <v>6</v>
      </c>
    </row>
    <row r="274" spans="1:18">
      <c r="A274">
        <v>1483</v>
      </c>
      <c r="B274" t="s">
        <v>107</v>
      </c>
      <c r="C274">
        <v>33</v>
      </c>
      <c r="D274">
        <v>12</v>
      </c>
      <c r="E274" t="s">
        <v>96</v>
      </c>
      <c r="F274" t="s">
        <v>90</v>
      </c>
      <c r="G274" t="s">
        <v>15</v>
      </c>
      <c r="H274" t="s">
        <v>91</v>
      </c>
      <c r="I274">
        <v>20</v>
      </c>
      <c r="J274">
        <v>0</v>
      </c>
      <c r="K274">
        <v>7</v>
      </c>
      <c r="L274" t="s">
        <v>92</v>
      </c>
      <c r="M274">
        <v>21</v>
      </c>
      <c r="N274">
        <v>1</v>
      </c>
      <c r="O274" t="s">
        <v>15</v>
      </c>
      <c r="P274">
        <v>1</v>
      </c>
      <c r="Q274" t="s">
        <v>90</v>
      </c>
      <c r="R274" t="s">
        <v>6</v>
      </c>
    </row>
    <row r="275" spans="1:18">
      <c r="A275">
        <v>1484</v>
      </c>
      <c r="B275" t="s">
        <v>107</v>
      </c>
      <c r="C275">
        <v>34</v>
      </c>
      <c r="D275">
        <v>12</v>
      </c>
      <c r="E275" t="s">
        <v>96</v>
      </c>
      <c r="F275" t="s">
        <v>90</v>
      </c>
      <c r="G275" t="s">
        <v>15</v>
      </c>
      <c r="H275" t="s">
        <v>91</v>
      </c>
      <c r="I275">
        <v>20</v>
      </c>
      <c r="J275">
        <v>0</v>
      </c>
      <c r="K275">
        <v>7</v>
      </c>
      <c r="L275" t="s">
        <v>92</v>
      </c>
      <c r="M275">
        <v>21</v>
      </c>
      <c r="N275">
        <v>1</v>
      </c>
      <c r="O275" t="s">
        <v>15</v>
      </c>
      <c r="P275">
        <v>1</v>
      </c>
      <c r="Q275" t="s">
        <v>90</v>
      </c>
      <c r="R275" t="s">
        <v>6</v>
      </c>
    </row>
    <row r="276" spans="1:18">
      <c r="A276">
        <v>1485</v>
      </c>
      <c r="B276" t="s">
        <v>107</v>
      </c>
      <c r="C276">
        <v>35</v>
      </c>
      <c r="D276">
        <v>12</v>
      </c>
      <c r="E276" t="s">
        <v>96</v>
      </c>
      <c r="F276" t="s">
        <v>90</v>
      </c>
      <c r="G276" t="s">
        <v>15</v>
      </c>
      <c r="H276" t="s">
        <v>91</v>
      </c>
      <c r="I276">
        <v>20</v>
      </c>
      <c r="J276">
        <v>0</v>
      </c>
      <c r="K276">
        <v>7</v>
      </c>
      <c r="L276" t="s">
        <v>92</v>
      </c>
      <c r="M276">
        <v>21</v>
      </c>
      <c r="N276">
        <v>1</v>
      </c>
      <c r="O276" t="s">
        <v>15</v>
      </c>
      <c r="P276">
        <v>1</v>
      </c>
      <c r="Q276" t="s">
        <v>90</v>
      </c>
      <c r="R276" t="s">
        <v>6</v>
      </c>
    </row>
    <row r="277" spans="1:18">
      <c r="A277">
        <v>1486</v>
      </c>
      <c r="B277" t="s">
        <v>107</v>
      </c>
      <c r="C277">
        <v>36</v>
      </c>
      <c r="D277">
        <v>12</v>
      </c>
      <c r="E277" t="s">
        <v>96</v>
      </c>
      <c r="F277" t="s">
        <v>90</v>
      </c>
      <c r="G277" t="s">
        <v>15</v>
      </c>
      <c r="H277" t="s">
        <v>91</v>
      </c>
      <c r="I277">
        <v>20</v>
      </c>
      <c r="J277">
        <v>0</v>
      </c>
      <c r="K277">
        <v>7</v>
      </c>
      <c r="L277" t="s">
        <v>92</v>
      </c>
      <c r="M277">
        <v>21</v>
      </c>
      <c r="N277">
        <v>1</v>
      </c>
      <c r="O277" t="s">
        <v>15</v>
      </c>
      <c r="P277">
        <v>1</v>
      </c>
      <c r="Q277" t="s">
        <v>90</v>
      </c>
      <c r="R277" t="s">
        <v>6</v>
      </c>
    </row>
    <row r="278" spans="1:18">
      <c r="A278">
        <v>1487</v>
      </c>
      <c r="B278" t="s">
        <v>107</v>
      </c>
      <c r="C278">
        <v>37</v>
      </c>
      <c r="D278">
        <v>12</v>
      </c>
      <c r="E278" t="s">
        <v>96</v>
      </c>
      <c r="F278" t="s">
        <v>90</v>
      </c>
      <c r="G278" t="s">
        <v>15</v>
      </c>
      <c r="H278" t="s">
        <v>91</v>
      </c>
      <c r="I278">
        <v>20</v>
      </c>
      <c r="J278">
        <v>0</v>
      </c>
      <c r="K278">
        <v>7</v>
      </c>
      <c r="L278" t="s">
        <v>92</v>
      </c>
      <c r="M278">
        <v>21</v>
      </c>
      <c r="N278">
        <v>1</v>
      </c>
      <c r="O278" t="s">
        <v>15</v>
      </c>
      <c r="P278">
        <v>1</v>
      </c>
      <c r="Q278" t="s">
        <v>90</v>
      </c>
      <c r="R278" t="s">
        <v>6</v>
      </c>
    </row>
    <row r="279" spans="1:18">
      <c r="A279">
        <v>1488</v>
      </c>
      <c r="B279" t="s">
        <v>107</v>
      </c>
      <c r="C279">
        <v>38</v>
      </c>
      <c r="D279">
        <v>12</v>
      </c>
      <c r="E279" t="s">
        <v>96</v>
      </c>
      <c r="F279" t="s">
        <v>90</v>
      </c>
      <c r="G279" t="s">
        <v>15</v>
      </c>
      <c r="H279" t="s">
        <v>91</v>
      </c>
      <c r="I279">
        <v>20</v>
      </c>
      <c r="J279">
        <v>0</v>
      </c>
      <c r="K279">
        <v>7</v>
      </c>
      <c r="L279" t="s">
        <v>92</v>
      </c>
      <c r="M279">
        <v>21</v>
      </c>
      <c r="N279">
        <v>1</v>
      </c>
      <c r="O279" t="s">
        <v>15</v>
      </c>
      <c r="P279">
        <v>1</v>
      </c>
      <c r="Q279" t="s">
        <v>90</v>
      </c>
      <c r="R279" t="s">
        <v>6</v>
      </c>
    </row>
    <row r="280" spans="1:18">
      <c r="A280">
        <v>1489</v>
      </c>
      <c r="B280" t="s">
        <v>107</v>
      </c>
      <c r="C280">
        <v>39</v>
      </c>
      <c r="D280">
        <v>12</v>
      </c>
      <c r="E280" t="s">
        <v>96</v>
      </c>
      <c r="F280" t="s">
        <v>90</v>
      </c>
      <c r="G280" t="s">
        <v>15</v>
      </c>
      <c r="H280" t="s">
        <v>91</v>
      </c>
      <c r="I280">
        <v>20</v>
      </c>
      <c r="J280">
        <v>0</v>
      </c>
      <c r="K280">
        <v>7</v>
      </c>
      <c r="L280" t="s">
        <v>92</v>
      </c>
      <c r="M280">
        <v>21</v>
      </c>
      <c r="N280">
        <v>1</v>
      </c>
      <c r="O280" t="s">
        <v>15</v>
      </c>
      <c r="P280">
        <v>1</v>
      </c>
      <c r="Q280" t="s">
        <v>90</v>
      </c>
      <c r="R280" t="s">
        <v>6</v>
      </c>
    </row>
    <row r="281" spans="1:18">
      <c r="A281">
        <v>1490</v>
      </c>
      <c r="B281" t="s">
        <v>107</v>
      </c>
      <c r="C281">
        <v>40</v>
      </c>
      <c r="D281">
        <v>12</v>
      </c>
      <c r="E281" t="s">
        <v>96</v>
      </c>
      <c r="F281" t="s">
        <v>90</v>
      </c>
      <c r="G281" t="s">
        <v>15</v>
      </c>
      <c r="H281" t="s">
        <v>91</v>
      </c>
      <c r="I281">
        <v>20</v>
      </c>
      <c r="J281">
        <v>0</v>
      </c>
      <c r="K281">
        <v>7</v>
      </c>
      <c r="L281" t="s">
        <v>92</v>
      </c>
      <c r="M281">
        <v>21</v>
      </c>
      <c r="N281">
        <v>1</v>
      </c>
      <c r="O281" t="s">
        <v>15</v>
      </c>
      <c r="P281">
        <v>1</v>
      </c>
      <c r="Q281" t="s">
        <v>90</v>
      </c>
      <c r="R281" t="s">
        <v>6</v>
      </c>
    </row>
    <row r="282" spans="1:18">
      <c r="A282">
        <v>1491</v>
      </c>
      <c r="B282" t="s">
        <v>108</v>
      </c>
      <c r="C282">
        <v>1</v>
      </c>
      <c r="D282">
        <v>9</v>
      </c>
      <c r="E282" t="s">
        <v>89</v>
      </c>
      <c r="F282" t="s">
        <v>90</v>
      </c>
      <c r="G282" t="s">
        <v>15</v>
      </c>
      <c r="H282" t="s">
        <v>91</v>
      </c>
      <c r="I282">
        <v>20</v>
      </c>
      <c r="J282">
        <v>0</v>
      </c>
      <c r="K282">
        <v>7</v>
      </c>
      <c r="L282" t="s">
        <v>92</v>
      </c>
      <c r="M282">
        <v>22</v>
      </c>
      <c r="N282">
        <v>1</v>
      </c>
      <c r="O282" t="s">
        <v>15</v>
      </c>
      <c r="P282">
        <v>1</v>
      </c>
      <c r="Q282" t="s">
        <v>90</v>
      </c>
      <c r="R282" t="s">
        <v>109</v>
      </c>
    </row>
    <row r="283" spans="1:18">
      <c r="A283">
        <v>1492</v>
      </c>
      <c r="B283" t="s">
        <v>108</v>
      </c>
      <c r="C283">
        <v>2</v>
      </c>
      <c r="D283">
        <v>10</v>
      </c>
      <c r="E283" t="s">
        <v>94</v>
      </c>
      <c r="F283" t="s">
        <v>90</v>
      </c>
      <c r="G283" t="s">
        <v>15</v>
      </c>
      <c r="H283" t="s">
        <v>91</v>
      </c>
      <c r="I283">
        <v>20</v>
      </c>
      <c r="J283">
        <v>0</v>
      </c>
      <c r="K283">
        <v>7</v>
      </c>
      <c r="L283" t="s">
        <v>92</v>
      </c>
      <c r="M283">
        <v>22</v>
      </c>
      <c r="N283">
        <v>1</v>
      </c>
      <c r="O283" t="s">
        <v>15</v>
      </c>
      <c r="P283">
        <v>1</v>
      </c>
      <c r="Q283" t="s">
        <v>90</v>
      </c>
      <c r="R283" t="s">
        <v>109</v>
      </c>
    </row>
    <row r="284" spans="1:18">
      <c r="A284">
        <v>1493</v>
      </c>
      <c r="B284" t="s">
        <v>108</v>
      </c>
      <c r="C284">
        <v>3</v>
      </c>
      <c r="D284">
        <v>9</v>
      </c>
      <c r="E284" t="s">
        <v>89</v>
      </c>
      <c r="F284" t="s">
        <v>90</v>
      </c>
      <c r="G284" t="s">
        <v>15</v>
      </c>
      <c r="H284" t="s">
        <v>91</v>
      </c>
      <c r="I284">
        <v>20</v>
      </c>
      <c r="J284">
        <v>0</v>
      </c>
      <c r="K284">
        <v>7</v>
      </c>
      <c r="L284" t="s">
        <v>92</v>
      </c>
      <c r="M284">
        <v>22</v>
      </c>
      <c r="N284">
        <v>1</v>
      </c>
      <c r="O284" t="s">
        <v>15</v>
      </c>
      <c r="P284">
        <v>1</v>
      </c>
      <c r="Q284" t="s">
        <v>90</v>
      </c>
      <c r="R284" t="s">
        <v>109</v>
      </c>
    </row>
    <row r="285" spans="1:18">
      <c r="A285">
        <v>1494</v>
      </c>
      <c r="B285" t="s">
        <v>108</v>
      </c>
      <c r="C285">
        <v>4</v>
      </c>
      <c r="D285">
        <v>9</v>
      </c>
      <c r="E285" t="s">
        <v>89</v>
      </c>
      <c r="F285" t="s">
        <v>90</v>
      </c>
      <c r="G285" t="s">
        <v>15</v>
      </c>
      <c r="H285" t="s">
        <v>91</v>
      </c>
      <c r="I285">
        <v>20</v>
      </c>
      <c r="J285">
        <v>0</v>
      </c>
      <c r="K285">
        <v>7</v>
      </c>
      <c r="L285" t="s">
        <v>92</v>
      </c>
      <c r="M285">
        <v>22</v>
      </c>
      <c r="N285">
        <v>1</v>
      </c>
      <c r="O285" t="s">
        <v>15</v>
      </c>
      <c r="P285">
        <v>1</v>
      </c>
      <c r="Q285" t="s">
        <v>90</v>
      </c>
      <c r="R285" t="s">
        <v>109</v>
      </c>
    </row>
    <row r="286" spans="1:18">
      <c r="A286">
        <v>1495</v>
      </c>
      <c r="B286" t="s">
        <v>108</v>
      </c>
      <c r="C286">
        <v>5</v>
      </c>
      <c r="D286">
        <v>9</v>
      </c>
      <c r="E286" t="s">
        <v>89</v>
      </c>
      <c r="F286" t="s">
        <v>90</v>
      </c>
      <c r="G286" t="s">
        <v>15</v>
      </c>
      <c r="H286" t="s">
        <v>91</v>
      </c>
      <c r="I286">
        <v>20</v>
      </c>
      <c r="J286">
        <v>0</v>
      </c>
      <c r="K286">
        <v>7</v>
      </c>
      <c r="L286" t="s">
        <v>92</v>
      </c>
      <c r="M286">
        <v>22</v>
      </c>
      <c r="N286">
        <v>1</v>
      </c>
      <c r="O286" t="s">
        <v>15</v>
      </c>
      <c r="P286">
        <v>1</v>
      </c>
      <c r="Q286" t="s">
        <v>90</v>
      </c>
      <c r="R286" t="s">
        <v>109</v>
      </c>
    </row>
    <row r="287" spans="1:18">
      <c r="A287">
        <v>1496</v>
      </c>
      <c r="B287" t="s">
        <v>108</v>
      </c>
      <c r="C287">
        <v>6</v>
      </c>
      <c r="D287">
        <v>10</v>
      </c>
      <c r="E287" t="s">
        <v>94</v>
      </c>
      <c r="F287" t="s">
        <v>90</v>
      </c>
      <c r="G287" t="s">
        <v>15</v>
      </c>
      <c r="H287" t="s">
        <v>91</v>
      </c>
      <c r="I287">
        <v>20</v>
      </c>
      <c r="J287">
        <v>0</v>
      </c>
      <c r="K287">
        <v>7</v>
      </c>
      <c r="L287" t="s">
        <v>92</v>
      </c>
      <c r="M287">
        <v>22</v>
      </c>
      <c r="N287">
        <v>1</v>
      </c>
      <c r="O287" t="s">
        <v>15</v>
      </c>
      <c r="P287">
        <v>1</v>
      </c>
      <c r="Q287" t="s">
        <v>90</v>
      </c>
      <c r="R287" t="s">
        <v>109</v>
      </c>
    </row>
    <row r="288" spans="1:18">
      <c r="A288">
        <v>1497</v>
      </c>
      <c r="B288" t="s">
        <v>108</v>
      </c>
      <c r="C288">
        <v>7</v>
      </c>
      <c r="D288">
        <v>10</v>
      </c>
      <c r="E288" t="s">
        <v>94</v>
      </c>
      <c r="F288" t="s">
        <v>90</v>
      </c>
      <c r="G288" t="s">
        <v>15</v>
      </c>
      <c r="H288" t="s">
        <v>91</v>
      </c>
      <c r="I288">
        <v>20</v>
      </c>
      <c r="J288">
        <v>0</v>
      </c>
      <c r="K288">
        <v>7</v>
      </c>
      <c r="L288" t="s">
        <v>92</v>
      </c>
      <c r="M288">
        <v>22</v>
      </c>
      <c r="N288">
        <v>1</v>
      </c>
      <c r="O288" t="s">
        <v>15</v>
      </c>
      <c r="P288">
        <v>1</v>
      </c>
      <c r="Q288" t="s">
        <v>90</v>
      </c>
      <c r="R288" t="s">
        <v>109</v>
      </c>
    </row>
    <row r="289" spans="1:18">
      <c r="A289">
        <v>1498</v>
      </c>
      <c r="B289" t="s">
        <v>108</v>
      </c>
      <c r="C289">
        <v>8</v>
      </c>
      <c r="D289">
        <v>10</v>
      </c>
      <c r="E289" t="s">
        <v>94</v>
      </c>
      <c r="F289" t="s">
        <v>90</v>
      </c>
      <c r="G289" t="s">
        <v>15</v>
      </c>
      <c r="H289" t="s">
        <v>91</v>
      </c>
      <c r="I289">
        <v>20</v>
      </c>
      <c r="J289">
        <v>0</v>
      </c>
      <c r="K289">
        <v>7</v>
      </c>
      <c r="L289" t="s">
        <v>92</v>
      </c>
      <c r="M289">
        <v>22</v>
      </c>
      <c r="N289">
        <v>1</v>
      </c>
      <c r="O289" t="s">
        <v>15</v>
      </c>
      <c r="P289">
        <v>1</v>
      </c>
      <c r="Q289" t="s">
        <v>90</v>
      </c>
      <c r="R289" t="s">
        <v>109</v>
      </c>
    </row>
    <row r="290" spans="1:18">
      <c r="A290">
        <v>1499</v>
      </c>
      <c r="B290" t="s">
        <v>108</v>
      </c>
      <c r="C290">
        <v>9</v>
      </c>
      <c r="D290">
        <v>10</v>
      </c>
      <c r="E290" t="s">
        <v>94</v>
      </c>
      <c r="F290" t="s">
        <v>90</v>
      </c>
      <c r="G290" t="s">
        <v>15</v>
      </c>
      <c r="H290" t="s">
        <v>91</v>
      </c>
      <c r="I290">
        <v>20</v>
      </c>
      <c r="J290">
        <v>0</v>
      </c>
      <c r="K290">
        <v>7</v>
      </c>
      <c r="L290" t="s">
        <v>92</v>
      </c>
      <c r="M290">
        <v>22</v>
      </c>
      <c r="N290">
        <v>1</v>
      </c>
      <c r="O290" t="s">
        <v>15</v>
      </c>
      <c r="P290">
        <v>1</v>
      </c>
      <c r="Q290" t="s">
        <v>90</v>
      </c>
      <c r="R290" t="s">
        <v>109</v>
      </c>
    </row>
    <row r="291" spans="1:18">
      <c r="A291">
        <v>1500</v>
      </c>
      <c r="B291" t="s">
        <v>108</v>
      </c>
      <c r="C291">
        <v>10</v>
      </c>
      <c r="D291">
        <v>9</v>
      </c>
      <c r="E291" t="s">
        <v>89</v>
      </c>
      <c r="F291" t="s">
        <v>90</v>
      </c>
      <c r="G291" t="s">
        <v>15</v>
      </c>
      <c r="H291" t="s">
        <v>91</v>
      </c>
      <c r="I291">
        <v>20</v>
      </c>
      <c r="J291">
        <v>0</v>
      </c>
      <c r="K291">
        <v>7</v>
      </c>
      <c r="L291" t="s">
        <v>92</v>
      </c>
      <c r="M291">
        <v>22</v>
      </c>
      <c r="N291">
        <v>1</v>
      </c>
      <c r="O291" t="s">
        <v>15</v>
      </c>
      <c r="P291">
        <v>1</v>
      </c>
      <c r="Q291" t="s">
        <v>90</v>
      </c>
      <c r="R291" t="s">
        <v>109</v>
      </c>
    </row>
    <row r="292" spans="1:18">
      <c r="A292">
        <v>1501</v>
      </c>
      <c r="B292" t="s">
        <v>108</v>
      </c>
      <c r="C292">
        <v>11</v>
      </c>
      <c r="D292">
        <v>11</v>
      </c>
      <c r="E292" t="s">
        <v>95</v>
      </c>
      <c r="F292" t="s">
        <v>90</v>
      </c>
      <c r="G292" t="s">
        <v>15</v>
      </c>
      <c r="H292" t="s">
        <v>91</v>
      </c>
      <c r="I292">
        <v>20</v>
      </c>
      <c r="J292">
        <v>0</v>
      </c>
      <c r="K292">
        <v>7</v>
      </c>
      <c r="L292" t="s">
        <v>92</v>
      </c>
      <c r="M292">
        <v>22</v>
      </c>
      <c r="N292">
        <v>1</v>
      </c>
      <c r="O292" t="s">
        <v>15</v>
      </c>
      <c r="P292">
        <v>1</v>
      </c>
      <c r="Q292" t="s">
        <v>90</v>
      </c>
      <c r="R292" t="s">
        <v>109</v>
      </c>
    </row>
    <row r="293" spans="1:18">
      <c r="A293">
        <v>1502</v>
      </c>
      <c r="B293" t="s">
        <v>108</v>
      </c>
      <c r="C293">
        <v>12</v>
      </c>
      <c r="D293">
        <v>11</v>
      </c>
      <c r="E293" t="s">
        <v>95</v>
      </c>
      <c r="F293" t="s">
        <v>90</v>
      </c>
      <c r="G293" t="s">
        <v>15</v>
      </c>
      <c r="H293" t="s">
        <v>91</v>
      </c>
      <c r="I293">
        <v>20</v>
      </c>
      <c r="J293">
        <v>0</v>
      </c>
      <c r="K293">
        <v>7</v>
      </c>
      <c r="L293" t="s">
        <v>92</v>
      </c>
      <c r="M293">
        <v>22</v>
      </c>
      <c r="N293">
        <v>1</v>
      </c>
      <c r="O293" t="s">
        <v>15</v>
      </c>
      <c r="P293">
        <v>1</v>
      </c>
      <c r="Q293" t="s">
        <v>90</v>
      </c>
      <c r="R293" t="s">
        <v>109</v>
      </c>
    </row>
    <row r="294" spans="1:18">
      <c r="A294">
        <v>1503</v>
      </c>
      <c r="B294" t="s">
        <v>108</v>
      </c>
      <c r="C294">
        <v>13</v>
      </c>
      <c r="D294">
        <v>11</v>
      </c>
      <c r="E294" t="s">
        <v>95</v>
      </c>
      <c r="F294" t="s">
        <v>90</v>
      </c>
      <c r="G294" t="s">
        <v>15</v>
      </c>
      <c r="H294" t="s">
        <v>91</v>
      </c>
      <c r="I294">
        <v>20</v>
      </c>
      <c r="J294">
        <v>0</v>
      </c>
      <c r="K294">
        <v>7</v>
      </c>
      <c r="L294" t="s">
        <v>92</v>
      </c>
      <c r="M294">
        <v>22</v>
      </c>
      <c r="N294">
        <v>1</v>
      </c>
      <c r="O294" t="s">
        <v>15</v>
      </c>
      <c r="P294">
        <v>1</v>
      </c>
      <c r="Q294" t="s">
        <v>90</v>
      </c>
      <c r="R294" t="s">
        <v>109</v>
      </c>
    </row>
    <row r="295" spans="1:18">
      <c r="A295">
        <v>1504</v>
      </c>
      <c r="B295" t="s">
        <v>108</v>
      </c>
      <c r="C295">
        <v>14</v>
      </c>
      <c r="D295">
        <v>11</v>
      </c>
      <c r="E295" t="s">
        <v>95</v>
      </c>
      <c r="F295" t="s">
        <v>90</v>
      </c>
      <c r="G295" t="s">
        <v>15</v>
      </c>
      <c r="H295" t="s">
        <v>91</v>
      </c>
      <c r="I295">
        <v>20</v>
      </c>
      <c r="J295">
        <v>0</v>
      </c>
      <c r="K295">
        <v>7</v>
      </c>
      <c r="L295" t="s">
        <v>92</v>
      </c>
      <c r="M295">
        <v>22</v>
      </c>
      <c r="N295">
        <v>1</v>
      </c>
      <c r="O295" t="s">
        <v>15</v>
      </c>
      <c r="P295">
        <v>1</v>
      </c>
      <c r="Q295" t="s">
        <v>90</v>
      </c>
      <c r="R295" t="s">
        <v>109</v>
      </c>
    </row>
    <row r="296" spans="1:18">
      <c r="A296">
        <v>1505</v>
      </c>
      <c r="B296" t="s">
        <v>108</v>
      </c>
      <c r="C296">
        <v>15</v>
      </c>
      <c r="D296">
        <v>11</v>
      </c>
      <c r="E296" t="s">
        <v>95</v>
      </c>
      <c r="F296" t="s">
        <v>90</v>
      </c>
      <c r="G296" t="s">
        <v>15</v>
      </c>
      <c r="H296" t="s">
        <v>91</v>
      </c>
      <c r="I296">
        <v>20</v>
      </c>
      <c r="J296">
        <v>0</v>
      </c>
      <c r="K296">
        <v>7</v>
      </c>
      <c r="L296" t="s">
        <v>92</v>
      </c>
      <c r="M296">
        <v>22</v>
      </c>
      <c r="N296">
        <v>1</v>
      </c>
      <c r="O296" t="s">
        <v>15</v>
      </c>
      <c r="P296">
        <v>1</v>
      </c>
      <c r="Q296" t="s">
        <v>90</v>
      </c>
      <c r="R296" t="s">
        <v>109</v>
      </c>
    </row>
    <row r="297" spans="1:18">
      <c r="A297">
        <v>1506</v>
      </c>
      <c r="B297" t="s">
        <v>108</v>
      </c>
      <c r="C297">
        <v>16</v>
      </c>
      <c r="D297">
        <v>11</v>
      </c>
      <c r="E297" t="s">
        <v>95</v>
      </c>
      <c r="F297" t="s">
        <v>90</v>
      </c>
      <c r="G297" t="s">
        <v>15</v>
      </c>
      <c r="H297" t="s">
        <v>91</v>
      </c>
      <c r="I297">
        <v>20</v>
      </c>
      <c r="J297">
        <v>0</v>
      </c>
      <c r="K297">
        <v>7</v>
      </c>
      <c r="L297" t="s">
        <v>92</v>
      </c>
      <c r="M297">
        <v>22</v>
      </c>
      <c r="N297">
        <v>1</v>
      </c>
      <c r="O297" t="s">
        <v>15</v>
      </c>
      <c r="P297">
        <v>1</v>
      </c>
      <c r="Q297" t="s">
        <v>90</v>
      </c>
      <c r="R297" t="s">
        <v>109</v>
      </c>
    </row>
    <row r="298" spans="1:18">
      <c r="A298">
        <v>1507</v>
      </c>
      <c r="B298" t="s">
        <v>108</v>
      </c>
      <c r="C298">
        <v>17</v>
      </c>
      <c r="D298">
        <v>11</v>
      </c>
      <c r="E298" t="s">
        <v>95</v>
      </c>
      <c r="F298" t="s">
        <v>90</v>
      </c>
      <c r="G298" t="s">
        <v>15</v>
      </c>
      <c r="H298" t="s">
        <v>91</v>
      </c>
      <c r="I298">
        <v>20</v>
      </c>
      <c r="J298">
        <v>0</v>
      </c>
      <c r="K298">
        <v>7</v>
      </c>
      <c r="L298" t="s">
        <v>92</v>
      </c>
      <c r="M298">
        <v>22</v>
      </c>
      <c r="N298">
        <v>1</v>
      </c>
      <c r="O298" t="s">
        <v>15</v>
      </c>
      <c r="P298">
        <v>1</v>
      </c>
      <c r="Q298" t="s">
        <v>90</v>
      </c>
      <c r="R298" t="s">
        <v>109</v>
      </c>
    </row>
    <row r="299" spans="1:18">
      <c r="A299">
        <v>1508</v>
      </c>
      <c r="B299" t="s">
        <v>108</v>
      </c>
      <c r="C299">
        <v>18</v>
      </c>
      <c r="D299">
        <v>11</v>
      </c>
      <c r="E299" t="s">
        <v>95</v>
      </c>
      <c r="F299" t="s">
        <v>90</v>
      </c>
      <c r="G299" t="s">
        <v>15</v>
      </c>
      <c r="H299" t="s">
        <v>91</v>
      </c>
      <c r="I299">
        <v>20</v>
      </c>
      <c r="J299">
        <v>0</v>
      </c>
      <c r="K299">
        <v>7</v>
      </c>
      <c r="L299" t="s">
        <v>92</v>
      </c>
      <c r="M299">
        <v>22</v>
      </c>
      <c r="N299">
        <v>1</v>
      </c>
      <c r="O299" t="s">
        <v>15</v>
      </c>
      <c r="P299">
        <v>1</v>
      </c>
      <c r="Q299" t="s">
        <v>90</v>
      </c>
      <c r="R299" t="s">
        <v>109</v>
      </c>
    </row>
    <row r="300" spans="1:18">
      <c r="A300">
        <v>1509</v>
      </c>
      <c r="B300" t="s">
        <v>108</v>
      </c>
      <c r="C300">
        <v>19</v>
      </c>
      <c r="D300">
        <v>11</v>
      </c>
      <c r="E300" t="s">
        <v>95</v>
      </c>
      <c r="F300" t="s">
        <v>90</v>
      </c>
      <c r="G300" t="s">
        <v>15</v>
      </c>
      <c r="H300" t="s">
        <v>91</v>
      </c>
      <c r="I300">
        <v>20</v>
      </c>
      <c r="J300">
        <v>0</v>
      </c>
      <c r="K300">
        <v>7</v>
      </c>
      <c r="L300" t="s">
        <v>92</v>
      </c>
      <c r="M300">
        <v>22</v>
      </c>
      <c r="N300">
        <v>1</v>
      </c>
      <c r="O300" t="s">
        <v>15</v>
      </c>
      <c r="P300">
        <v>1</v>
      </c>
      <c r="Q300" t="s">
        <v>90</v>
      </c>
      <c r="R300" t="s">
        <v>109</v>
      </c>
    </row>
    <row r="301" spans="1:18">
      <c r="A301">
        <v>1510</v>
      </c>
      <c r="B301" t="s">
        <v>108</v>
      </c>
      <c r="C301">
        <v>20</v>
      </c>
      <c r="D301">
        <v>11</v>
      </c>
      <c r="E301" t="s">
        <v>95</v>
      </c>
      <c r="F301" t="s">
        <v>90</v>
      </c>
      <c r="G301" t="s">
        <v>15</v>
      </c>
      <c r="H301" t="s">
        <v>91</v>
      </c>
      <c r="I301">
        <v>20</v>
      </c>
      <c r="J301">
        <v>0</v>
      </c>
      <c r="K301">
        <v>7</v>
      </c>
      <c r="L301" t="s">
        <v>92</v>
      </c>
      <c r="M301">
        <v>22</v>
      </c>
      <c r="N301">
        <v>1</v>
      </c>
      <c r="O301" t="s">
        <v>15</v>
      </c>
      <c r="P301">
        <v>1</v>
      </c>
      <c r="Q301" t="s">
        <v>90</v>
      </c>
      <c r="R301" t="s">
        <v>109</v>
      </c>
    </row>
    <row r="302" spans="1:18">
      <c r="A302">
        <v>1511</v>
      </c>
      <c r="B302" t="s">
        <v>108</v>
      </c>
      <c r="C302">
        <v>21</v>
      </c>
      <c r="D302">
        <v>9</v>
      </c>
      <c r="E302" t="s">
        <v>89</v>
      </c>
      <c r="F302" t="s">
        <v>90</v>
      </c>
      <c r="G302" t="s">
        <v>15</v>
      </c>
      <c r="H302" t="s">
        <v>91</v>
      </c>
      <c r="I302">
        <v>20</v>
      </c>
      <c r="J302">
        <v>0</v>
      </c>
      <c r="K302">
        <v>7</v>
      </c>
      <c r="L302" t="s">
        <v>92</v>
      </c>
      <c r="M302">
        <v>22</v>
      </c>
      <c r="N302">
        <v>1</v>
      </c>
      <c r="O302" t="s">
        <v>15</v>
      </c>
      <c r="P302">
        <v>1</v>
      </c>
      <c r="Q302" t="s">
        <v>90</v>
      </c>
      <c r="R302" t="s">
        <v>109</v>
      </c>
    </row>
    <row r="303" spans="1:18">
      <c r="A303">
        <v>1512</v>
      </c>
      <c r="B303" t="s">
        <v>108</v>
      </c>
      <c r="C303">
        <v>22</v>
      </c>
      <c r="D303">
        <v>10</v>
      </c>
      <c r="E303" t="s">
        <v>94</v>
      </c>
      <c r="F303" t="s">
        <v>90</v>
      </c>
      <c r="G303" t="s">
        <v>15</v>
      </c>
      <c r="H303" t="s">
        <v>91</v>
      </c>
      <c r="I303">
        <v>20</v>
      </c>
      <c r="J303">
        <v>0</v>
      </c>
      <c r="K303">
        <v>7</v>
      </c>
      <c r="L303" t="s">
        <v>92</v>
      </c>
      <c r="M303">
        <v>22</v>
      </c>
      <c r="N303">
        <v>1</v>
      </c>
      <c r="O303" t="s">
        <v>15</v>
      </c>
      <c r="P303">
        <v>1</v>
      </c>
      <c r="Q303" t="s">
        <v>90</v>
      </c>
      <c r="R303" t="s">
        <v>109</v>
      </c>
    </row>
    <row r="304" spans="1:18">
      <c r="A304">
        <v>1513</v>
      </c>
      <c r="B304" t="s">
        <v>108</v>
      </c>
      <c r="C304">
        <v>23</v>
      </c>
      <c r="D304">
        <v>9</v>
      </c>
      <c r="E304" t="s">
        <v>89</v>
      </c>
      <c r="F304" t="s">
        <v>90</v>
      </c>
      <c r="G304" t="s">
        <v>15</v>
      </c>
      <c r="H304" t="s">
        <v>91</v>
      </c>
      <c r="I304">
        <v>20</v>
      </c>
      <c r="J304">
        <v>0</v>
      </c>
      <c r="K304">
        <v>7</v>
      </c>
      <c r="L304" t="s">
        <v>92</v>
      </c>
      <c r="M304">
        <v>22</v>
      </c>
      <c r="N304">
        <v>1</v>
      </c>
      <c r="O304" t="s">
        <v>15</v>
      </c>
      <c r="P304">
        <v>1</v>
      </c>
      <c r="Q304" t="s">
        <v>90</v>
      </c>
      <c r="R304" t="s">
        <v>109</v>
      </c>
    </row>
    <row r="305" spans="1:18">
      <c r="A305">
        <v>1514</v>
      </c>
      <c r="B305" t="s">
        <v>108</v>
      </c>
      <c r="C305">
        <v>24</v>
      </c>
      <c r="D305">
        <v>10</v>
      </c>
      <c r="E305" t="s">
        <v>94</v>
      </c>
      <c r="F305" t="s">
        <v>90</v>
      </c>
      <c r="G305" t="s">
        <v>15</v>
      </c>
      <c r="H305" t="s">
        <v>91</v>
      </c>
      <c r="I305">
        <v>20</v>
      </c>
      <c r="J305">
        <v>0</v>
      </c>
      <c r="K305">
        <v>7</v>
      </c>
      <c r="L305" t="s">
        <v>92</v>
      </c>
      <c r="M305">
        <v>22</v>
      </c>
      <c r="N305">
        <v>1</v>
      </c>
      <c r="O305" t="s">
        <v>15</v>
      </c>
      <c r="P305">
        <v>1</v>
      </c>
      <c r="Q305" t="s">
        <v>90</v>
      </c>
      <c r="R305" t="s">
        <v>109</v>
      </c>
    </row>
    <row r="306" spans="1:18">
      <c r="A306">
        <v>1515</v>
      </c>
      <c r="B306" t="s">
        <v>108</v>
      </c>
      <c r="C306">
        <v>25</v>
      </c>
      <c r="D306">
        <v>9</v>
      </c>
      <c r="E306" t="s">
        <v>89</v>
      </c>
      <c r="F306" t="s">
        <v>90</v>
      </c>
      <c r="G306" t="s">
        <v>15</v>
      </c>
      <c r="H306" t="s">
        <v>91</v>
      </c>
      <c r="I306">
        <v>20</v>
      </c>
      <c r="J306">
        <v>0</v>
      </c>
      <c r="K306">
        <v>7</v>
      </c>
      <c r="L306" t="s">
        <v>92</v>
      </c>
      <c r="M306">
        <v>22</v>
      </c>
      <c r="N306">
        <v>1</v>
      </c>
      <c r="O306" t="s">
        <v>15</v>
      </c>
      <c r="P306">
        <v>1</v>
      </c>
      <c r="Q306" t="s">
        <v>90</v>
      </c>
      <c r="R306" t="s">
        <v>109</v>
      </c>
    </row>
    <row r="307" spans="1:18">
      <c r="A307">
        <v>1516</v>
      </c>
      <c r="B307" t="s">
        <v>108</v>
      </c>
      <c r="C307">
        <v>26</v>
      </c>
      <c r="D307">
        <v>10</v>
      </c>
      <c r="E307" t="s">
        <v>94</v>
      </c>
      <c r="F307" t="s">
        <v>90</v>
      </c>
      <c r="G307" t="s">
        <v>15</v>
      </c>
      <c r="H307" t="s">
        <v>91</v>
      </c>
      <c r="I307">
        <v>20</v>
      </c>
      <c r="J307">
        <v>0</v>
      </c>
      <c r="K307">
        <v>7</v>
      </c>
      <c r="L307" t="s">
        <v>92</v>
      </c>
      <c r="M307">
        <v>22</v>
      </c>
      <c r="N307">
        <v>1</v>
      </c>
      <c r="O307" t="s">
        <v>15</v>
      </c>
      <c r="P307">
        <v>1</v>
      </c>
      <c r="Q307" t="s">
        <v>90</v>
      </c>
      <c r="R307" t="s">
        <v>109</v>
      </c>
    </row>
    <row r="308" spans="1:18">
      <c r="A308">
        <v>1517</v>
      </c>
      <c r="B308" t="s">
        <v>108</v>
      </c>
      <c r="C308">
        <v>27</v>
      </c>
      <c r="D308">
        <v>9</v>
      </c>
      <c r="E308" t="s">
        <v>89</v>
      </c>
      <c r="F308" t="s">
        <v>90</v>
      </c>
      <c r="G308" t="s">
        <v>15</v>
      </c>
      <c r="H308" t="s">
        <v>91</v>
      </c>
      <c r="I308">
        <v>20</v>
      </c>
      <c r="J308">
        <v>0</v>
      </c>
      <c r="K308">
        <v>7</v>
      </c>
      <c r="L308" t="s">
        <v>92</v>
      </c>
      <c r="M308">
        <v>22</v>
      </c>
      <c r="N308">
        <v>1</v>
      </c>
      <c r="O308" t="s">
        <v>15</v>
      </c>
      <c r="P308">
        <v>1</v>
      </c>
      <c r="Q308" t="s">
        <v>90</v>
      </c>
      <c r="R308" t="s">
        <v>109</v>
      </c>
    </row>
    <row r="309" spans="1:18">
      <c r="A309">
        <v>1518</v>
      </c>
      <c r="B309" t="s">
        <v>108</v>
      </c>
      <c r="C309">
        <v>28</v>
      </c>
      <c r="D309">
        <v>10</v>
      </c>
      <c r="E309" t="s">
        <v>94</v>
      </c>
      <c r="F309" t="s">
        <v>90</v>
      </c>
      <c r="G309" t="s">
        <v>15</v>
      </c>
      <c r="H309" t="s">
        <v>91</v>
      </c>
      <c r="I309">
        <v>20</v>
      </c>
      <c r="J309">
        <v>0</v>
      </c>
      <c r="K309">
        <v>7</v>
      </c>
      <c r="L309" t="s">
        <v>92</v>
      </c>
      <c r="M309">
        <v>22</v>
      </c>
      <c r="N309">
        <v>1</v>
      </c>
      <c r="O309" t="s">
        <v>15</v>
      </c>
      <c r="P309">
        <v>1</v>
      </c>
      <c r="Q309" t="s">
        <v>90</v>
      </c>
      <c r="R309" t="s">
        <v>109</v>
      </c>
    </row>
    <row r="310" spans="1:18">
      <c r="A310">
        <v>1519</v>
      </c>
      <c r="B310" t="s">
        <v>108</v>
      </c>
      <c r="C310">
        <v>29</v>
      </c>
      <c r="D310">
        <v>9</v>
      </c>
      <c r="E310" t="s">
        <v>89</v>
      </c>
      <c r="F310" t="s">
        <v>90</v>
      </c>
      <c r="G310" t="s">
        <v>15</v>
      </c>
      <c r="H310" t="s">
        <v>91</v>
      </c>
      <c r="I310">
        <v>20</v>
      </c>
      <c r="J310">
        <v>0</v>
      </c>
      <c r="K310">
        <v>7</v>
      </c>
      <c r="L310" t="s">
        <v>92</v>
      </c>
      <c r="M310">
        <v>22</v>
      </c>
      <c r="N310">
        <v>1</v>
      </c>
      <c r="O310" t="s">
        <v>15</v>
      </c>
      <c r="P310">
        <v>1</v>
      </c>
      <c r="Q310" t="s">
        <v>90</v>
      </c>
      <c r="R310" t="s">
        <v>109</v>
      </c>
    </row>
    <row r="311" spans="1:18">
      <c r="A311">
        <v>1520</v>
      </c>
      <c r="B311" t="s">
        <v>108</v>
      </c>
      <c r="C311">
        <v>30</v>
      </c>
      <c r="D311">
        <v>10</v>
      </c>
      <c r="E311" t="s">
        <v>94</v>
      </c>
      <c r="F311" t="s">
        <v>90</v>
      </c>
      <c r="G311" t="s">
        <v>15</v>
      </c>
      <c r="H311" t="s">
        <v>91</v>
      </c>
      <c r="I311">
        <v>20</v>
      </c>
      <c r="J311">
        <v>0</v>
      </c>
      <c r="K311">
        <v>7</v>
      </c>
      <c r="L311" t="s">
        <v>92</v>
      </c>
      <c r="M311">
        <v>22</v>
      </c>
      <c r="N311">
        <v>1</v>
      </c>
      <c r="O311" t="s">
        <v>15</v>
      </c>
      <c r="P311">
        <v>1</v>
      </c>
      <c r="Q311" t="s">
        <v>90</v>
      </c>
      <c r="R311" t="s">
        <v>109</v>
      </c>
    </row>
    <row r="312" spans="1:18">
      <c r="A312">
        <v>1521</v>
      </c>
      <c r="B312" t="s">
        <v>108</v>
      </c>
      <c r="C312">
        <v>31</v>
      </c>
      <c r="D312">
        <v>12</v>
      </c>
      <c r="E312" t="s">
        <v>96</v>
      </c>
      <c r="F312" t="s">
        <v>90</v>
      </c>
      <c r="G312" t="s">
        <v>15</v>
      </c>
      <c r="H312" t="s">
        <v>91</v>
      </c>
      <c r="I312">
        <v>20</v>
      </c>
      <c r="J312">
        <v>0</v>
      </c>
      <c r="K312">
        <v>7</v>
      </c>
      <c r="L312" t="s">
        <v>92</v>
      </c>
      <c r="M312">
        <v>22</v>
      </c>
      <c r="N312">
        <v>1</v>
      </c>
      <c r="O312" t="s">
        <v>15</v>
      </c>
      <c r="P312">
        <v>1</v>
      </c>
      <c r="Q312" t="s">
        <v>90</v>
      </c>
      <c r="R312" t="s">
        <v>109</v>
      </c>
    </row>
    <row r="313" spans="1:18">
      <c r="A313">
        <v>1522</v>
      </c>
      <c r="B313" t="s">
        <v>108</v>
      </c>
      <c r="C313">
        <v>32</v>
      </c>
      <c r="D313">
        <v>12</v>
      </c>
      <c r="E313" t="s">
        <v>96</v>
      </c>
      <c r="F313" t="s">
        <v>90</v>
      </c>
      <c r="G313" t="s">
        <v>15</v>
      </c>
      <c r="H313" t="s">
        <v>91</v>
      </c>
      <c r="I313">
        <v>20</v>
      </c>
      <c r="J313">
        <v>0</v>
      </c>
      <c r="K313">
        <v>7</v>
      </c>
      <c r="L313" t="s">
        <v>92</v>
      </c>
      <c r="M313">
        <v>22</v>
      </c>
      <c r="N313">
        <v>1</v>
      </c>
      <c r="O313" t="s">
        <v>15</v>
      </c>
      <c r="P313">
        <v>1</v>
      </c>
      <c r="Q313" t="s">
        <v>90</v>
      </c>
      <c r="R313" t="s">
        <v>109</v>
      </c>
    </row>
    <row r="314" spans="1:18">
      <c r="A314">
        <v>1523</v>
      </c>
      <c r="B314" t="s">
        <v>108</v>
      </c>
      <c r="C314">
        <v>33</v>
      </c>
      <c r="D314">
        <v>12</v>
      </c>
      <c r="E314" t="s">
        <v>96</v>
      </c>
      <c r="F314" t="s">
        <v>90</v>
      </c>
      <c r="G314" t="s">
        <v>15</v>
      </c>
      <c r="H314" t="s">
        <v>91</v>
      </c>
      <c r="I314">
        <v>20</v>
      </c>
      <c r="J314">
        <v>0</v>
      </c>
      <c r="K314">
        <v>7</v>
      </c>
      <c r="L314" t="s">
        <v>92</v>
      </c>
      <c r="M314">
        <v>22</v>
      </c>
      <c r="N314">
        <v>1</v>
      </c>
      <c r="O314" t="s">
        <v>15</v>
      </c>
      <c r="P314">
        <v>1</v>
      </c>
      <c r="Q314" t="s">
        <v>90</v>
      </c>
      <c r="R314" t="s">
        <v>109</v>
      </c>
    </row>
    <row r="315" spans="1:18">
      <c r="A315">
        <v>1524</v>
      </c>
      <c r="B315" t="s">
        <v>108</v>
      </c>
      <c r="C315">
        <v>34</v>
      </c>
      <c r="D315">
        <v>12</v>
      </c>
      <c r="E315" t="s">
        <v>96</v>
      </c>
      <c r="F315" t="s">
        <v>90</v>
      </c>
      <c r="G315" t="s">
        <v>15</v>
      </c>
      <c r="H315" t="s">
        <v>91</v>
      </c>
      <c r="I315">
        <v>20</v>
      </c>
      <c r="J315">
        <v>0</v>
      </c>
      <c r="K315">
        <v>7</v>
      </c>
      <c r="L315" t="s">
        <v>92</v>
      </c>
      <c r="M315">
        <v>22</v>
      </c>
      <c r="N315">
        <v>1</v>
      </c>
      <c r="O315" t="s">
        <v>15</v>
      </c>
      <c r="P315">
        <v>1</v>
      </c>
      <c r="Q315" t="s">
        <v>90</v>
      </c>
      <c r="R315" t="s">
        <v>109</v>
      </c>
    </row>
    <row r="316" spans="1:18">
      <c r="A316">
        <v>1525</v>
      </c>
      <c r="B316" t="s">
        <v>108</v>
      </c>
      <c r="C316">
        <v>35</v>
      </c>
      <c r="D316">
        <v>12</v>
      </c>
      <c r="E316" t="s">
        <v>96</v>
      </c>
      <c r="F316" t="s">
        <v>90</v>
      </c>
      <c r="G316" t="s">
        <v>15</v>
      </c>
      <c r="H316" t="s">
        <v>91</v>
      </c>
      <c r="I316">
        <v>20</v>
      </c>
      <c r="J316">
        <v>0</v>
      </c>
      <c r="K316">
        <v>7</v>
      </c>
      <c r="L316" t="s">
        <v>92</v>
      </c>
      <c r="M316">
        <v>22</v>
      </c>
      <c r="N316">
        <v>1</v>
      </c>
      <c r="O316" t="s">
        <v>15</v>
      </c>
      <c r="P316">
        <v>1</v>
      </c>
      <c r="Q316" t="s">
        <v>90</v>
      </c>
      <c r="R316" t="s">
        <v>109</v>
      </c>
    </row>
    <row r="317" spans="1:18">
      <c r="A317">
        <v>1526</v>
      </c>
      <c r="B317" t="s">
        <v>108</v>
      </c>
      <c r="C317">
        <v>36</v>
      </c>
      <c r="D317">
        <v>12</v>
      </c>
      <c r="E317" t="s">
        <v>96</v>
      </c>
      <c r="F317" t="s">
        <v>90</v>
      </c>
      <c r="G317" t="s">
        <v>15</v>
      </c>
      <c r="H317" t="s">
        <v>91</v>
      </c>
      <c r="I317">
        <v>20</v>
      </c>
      <c r="J317">
        <v>0</v>
      </c>
      <c r="K317">
        <v>7</v>
      </c>
      <c r="L317" t="s">
        <v>92</v>
      </c>
      <c r="M317">
        <v>22</v>
      </c>
      <c r="N317">
        <v>1</v>
      </c>
      <c r="O317" t="s">
        <v>15</v>
      </c>
      <c r="P317">
        <v>1</v>
      </c>
      <c r="Q317" t="s">
        <v>90</v>
      </c>
      <c r="R317" t="s">
        <v>109</v>
      </c>
    </row>
    <row r="318" spans="1:18">
      <c r="A318">
        <v>1527</v>
      </c>
      <c r="B318" t="s">
        <v>108</v>
      </c>
      <c r="C318">
        <v>37</v>
      </c>
      <c r="D318">
        <v>12</v>
      </c>
      <c r="E318" t="s">
        <v>96</v>
      </c>
      <c r="F318" t="s">
        <v>90</v>
      </c>
      <c r="G318" t="s">
        <v>15</v>
      </c>
      <c r="H318" t="s">
        <v>91</v>
      </c>
      <c r="I318">
        <v>20</v>
      </c>
      <c r="J318">
        <v>0</v>
      </c>
      <c r="K318">
        <v>7</v>
      </c>
      <c r="L318" t="s">
        <v>92</v>
      </c>
      <c r="M318">
        <v>22</v>
      </c>
      <c r="N318">
        <v>1</v>
      </c>
      <c r="O318" t="s">
        <v>15</v>
      </c>
      <c r="P318">
        <v>1</v>
      </c>
      <c r="Q318" t="s">
        <v>90</v>
      </c>
      <c r="R318" t="s">
        <v>109</v>
      </c>
    </row>
    <row r="319" spans="1:18">
      <c r="A319">
        <v>1528</v>
      </c>
      <c r="B319" t="s">
        <v>108</v>
      </c>
      <c r="C319">
        <v>38</v>
      </c>
      <c r="D319">
        <v>12</v>
      </c>
      <c r="E319" t="s">
        <v>96</v>
      </c>
      <c r="F319" t="s">
        <v>90</v>
      </c>
      <c r="G319" t="s">
        <v>15</v>
      </c>
      <c r="H319" t="s">
        <v>91</v>
      </c>
      <c r="I319">
        <v>20</v>
      </c>
      <c r="J319">
        <v>0</v>
      </c>
      <c r="K319">
        <v>7</v>
      </c>
      <c r="L319" t="s">
        <v>92</v>
      </c>
      <c r="M319">
        <v>22</v>
      </c>
      <c r="N319">
        <v>1</v>
      </c>
      <c r="O319" t="s">
        <v>15</v>
      </c>
      <c r="P319">
        <v>1</v>
      </c>
      <c r="Q319" t="s">
        <v>90</v>
      </c>
      <c r="R319" t="s">
        <v>109</v>
      </c>
    </row>
    <row r="320" spans="1:18">
      <c r="A320">
        <v>1529</v>
      </c>
      <c r="B320" t="s">
        <v>108</v>
      </c>
      <c r="C320">
        <v>39</v>
      </c>
      <c r="D320">
        <v>12</v>
      </c>
      <c r="E320" t="s">
        <v>96</v>
      </c>
      <c r="F320" t="s">
        <v>90</v>
      </c>
      <c r="G320" t="s">
        <v>15</v>
      </c>
      <c r="H320" t="s">
        <v>91</v>
      </c>
      <c r="I320">
        <v>20</v>
      </c>
      <c r="J320">
        <v>0</v>
      </c>
      <c r="K320">
        <v>7</v>
      </c>
      <c r="L320" t="s">
        <v>92</v>
      </c>
      <c r="M320">
        <v>22</v>
      </c>
      <c r="N320">
        <v>1</v>
      </c>
      <c r="O320" t="s">
        <v>15</v>
      </c>
      <c r="P320">
        <v>1</v>
      </c>
      <c r="Q320" t="s">
        <v>90</v>
      </c>
      <c r="R320" t="s">
        <v>109</v>
      </c>
    </row>
    <row r="321" spans="1:18">
      <c r="A321">
        <v>1530</v>
      </c>
      <c r="B321" t="s">
        <v>108</v>
      </c>
      <c r="C321">
        <v>40</v>
      </c>
      <c r="D321">
        <v>12</v>
      </c>
      <c r="E321" t="s">
        <v>96</v>
      </c>
      <c r="F321" t="s">
        <v>90</v>
      </c>
      <c r="G321" t="s">
        <v>15</v>
      </c>
      <c r="H321" t="s">
        <v>91</v>
      </c>
      <c r="I321">
        <v>20</v>
      </c>
      <c r="J321">
        <v>0</v>
      </c>
      <c r="K321">
        <v>7</v>
      </c>
      <c r="L321" t="s">
        <v>92</v>
      </c>
      <c r="M321">
        <v>22</v>
      </c>
      <c r="N321">
        <v>1</v>
      </c>
      <c r="O321" t="s">
        <v>15</v>
      </c>
      <c r="P321">
        <v>1</v>
      </c>
      <c r="Q321" t="s">
        <v>90</v>
      </c>
      <c r="R321" t="s">
        <v>109</v>
      </c>
    </row>
    <row r="322" spans="1:18">
      <c r="A322">
        <v>1531</v>
      </c>
      <c r="B322" t="s">
        <v>110</v>
      </c>
      <c r="C322">
        <v>1</v>
      </c>
      <c r="D322">
        <v>9</v>
      </c>
      <c r="E322" t="s">
        <v>89</v>
      </c>
      <c r="F322" t="s">
        <v>90</v>
      </c>
      <c r="G322" t="s">
        <v>15</v>
      </c>
      <c r="H322" t="s">
        <v>91</v>
      </c>
      <c r="I322">
        <v>20</v>
      </c>
      <c r="J322">
        <v>14</v>
      </c>
      <c r="K322">
        <v>7</v>
      </c>
      <c r="L322" t="s">
        <v>92</v>
      </c>
      <c r="M322">
        <v>23</v>
      </c>
      <c r="N322">
        <v>1</v>
      </c>
      <c r="O322" t="s">
        <v>15</v>
      </c>
      <c r="P322">
        <v>1</v>
      </c>
      <c r="Q322" t="s">
        <v>90</v>
      </c>
      <c r="R322" t="s">
        <v>111</v>
      </c>
    </row>
    <row r="323" spans="1:18">
      <c r="A323">
        <v>1532</v>
      </c>
      <c r="B323" t="s">
        <v>110</v>
      </c>
      <c r="C323">
        <v>2</v>
      </c>
      <c r="D323">
        <v>10</v>
      </c>
      <c r="E323" t="s">
        <v>94</v>
      </c>
      <c r="F323" t="s">
        <v>90</v>
      </c>
      <c r="G323" t="s">
        <v>15</v>
      </c>
      <c r="H323" t="s">
        <v>91</v>
      </c>
      <c r="I323">
        <v>20</v>
      </c>
      <c r="J323">
        <v>12</v>
      </c>
      <c r="K323">
        <v>7</v>
      </c>
      <c r="L323" t="s">
        <v>92</v>
      </c>
      <c r="M323">
        <v>23</v>
      </c>
      <c r="N323">
        <v>1</v>
      </c>
      <c r="O323" t="s">
        <v>15</v>
      </c>
      <c r="P323">
        <v>1</v>
      </c>
      <c r="Q323" t="s">
        <v>90</v>
      </c>
      <c r="R323" t="s">
        <v>111</v>
      </c>
    </row>
    <row r="324" spans="1:18">
      <c r="A324">
        <v>1533</v>
      </c>
      <c r="B324" t="s">
        <v>110</v>
      </c>
      <c r="C324">
        <v>3</v>
      </c>
      <c r="D324">
        <v>9</v>
      </c>
      <c r="E324" t="s">
        <v>89</v>
      </c>
      <c r="F324" t="s">
        <v>90</v>
      </c>
      <c r="G324" t="s">
        <v>15</v>
      </c>
      <c r="H324" t="s">
        <v>91</v>
      </c>
      <c r="I324">
        <v>20</v>
      </c>
      <c r="J324">
        <v>0</v>
      </c>
      <c r="K324">
        <v>7</v>
      </c>
      <c r="L324" t="s">
        <v>92</v>
      </c>
      <c r="M324">
        <v>23</v>
      </c>
      <c r="N324">
        <v>1</v>
      </c>
      <c r="O324" t="s">
        <v>15</v>
      </c>
      <c r="P324">
        <v>1</v>
      </c>
      <c r="Q324" t="s">
        <v>90</v>
      </c>
      <c r="R324" t="s">
        <v>111</v>
      </c>
    </row>
    <row r="325" spans="1:18">
      <c r="A325">
        <v>1534</v>
      </c>
      <c r="B325" t="s">
        <v>110</v>
      </c>
      <c r="C325">
        <v>4</v>
      </c>
      <c r="D325">
        <v>9</v>
      </c>
      <c r="E325" t="s">
        <v>89</v>
      </c>
      <c r="F325" t="s">
        <v>90</v>
      </c>
      <c r="G325" t="s">
        <v>15</v>
      </c>
      <c r="H325" t="s">
        <v>91</v>
      </c>
      <c r="I325">
        <v>20</v>
      </c>
      <c r="J325">
        <v>0</v>
      </c>
      <c r="K325">
        <v>7</v>
      </c>
      <c r="L325" t="s">
        <v>92</v>
      </c>
      <c r="M325">
        <v>23</v>
      </c>
      <c r="N325">
        <v>1</v>
      </c>
      <c r="O325" t="s">
        <v>15</v>
      </c>
      <c r="P325">
        <v>1</v>
      </c>
      <c r="Q325" t="s">
        <v>90</v>
      </c>
      <c r="R325" t="s">
        <v>111</v>
      </c>
    </row>
    <row r="326" spans="1:18">
      <c r="A326">
        <v>1535</v>
      </c>
      <c r="B326" t="s">
        <v>110</v>
      </c>
      <c r="C326">
        <v>5</v>
      </c>
      <c r="D326">
        <v>9</v>
      </c>
      <c r="E326" t="s">
        <v>89</v>
      </c>
      <c r="F326" t="s">
        <v>90</v>
      </c>
      <c r="G326" t="s">
        <v>15</v>
      </c>
      <c r="H326" t="s">
        <v>91</v>
      </c>
      <c r="I326">
        <v>20</v>
      </c>
      <c r="J326">
        <v>0</v>
      </c>
      <c r="K326">
        <v>7</v>
      </c>
      <c r="L326" t="s">
        <v>92</v>
      </c>
      <c r="M326">
        <v>23</v>
      </c>
      <c r="N326">
        <v>1</v>
      </c>
      <c r="O326" t="s">
        <v>15</v>
      </c>
      <c r="P326">
        <v>1</v>
      </c>
      <c r="Q326" t="s">
        <v>90</v>
      </c>
      <c r="R326" t="s">
        <v>111</v>
      </c>
    </row>
    <row r="327" spans="1:18">
      <c r="A327">
        <v>1536</v>
      </c>
      <c r="B327" t="s">
        <v>110</v>
      </c>
      <c r="C327">
        <v>6</v>
      </c>
      <c r="D327">
        <v>10</v>
      </c>
      <c r="E327" t="s">
        <v>94</v>
      </c>
      <c r="F327" t="s">
        <v>90</v>
      </c>
      <c r="G327" t="s">
        <v>15</v>
      </c>
      <c r="H327" t="s">
        <v>91</v>
      </c>
      <c r="I327">
        <v>20</v>
      </c>
      <c r="J327">
        <v>0</v>
      </c>
      <c r="K327">
        <v>7</v>
      </c>
      <c r="L327" t="s">
        <v>92</v>
      </c>
      <c r="M327">
        <v>23</v>
      </c>
      <c r="N327">
        <v>1</v>
      </c>
      <c r="O327" t="s">
        <v>15</v>
      </c>
      <c r="P327">
        <v>1</v>
      </c>
      <c r="Q327" t="s">
        <v>90</v>
      </c>
      <c r="R327" t="s">
        <v>111</v>
      </c>
    </row>
    <row r="328" spans="1:18">
      <c r="A328">
        <v>1537</v>
      </c>
      <c r="B328" t="s">
        <v>110</v>
      </c>
      <c r="C328">
        <v>7</v>
      </c>
      <c r="D328">
        <v>10</v>
      </c>
      <c r="E328" t="s">
        <v>94</v>
      </c>
      <c r="F328" t="s">
        <v>90</v>
      </c>
      <c r="G328" t="s">
        <v>15</v>
      </c>
      <c r="H328" t="s">
        <v>91</v>
      </c>
      <c r="I328">
        <v>20</v>
      </c>
      <c r="J328">
        <v>0</v>
      </c>
      <c r="K328">
        <v>7</v>
      </c>
      <c r="L328" t="s">
        <v>92</v>
      </c>
      <c r="M328">
        <v>23</v>
      </c>
      <c r="N328">
        <v>1</v>
      </c>
      <c r="O328" t="s">
        <v>15</v>
      </c>
      <c r="P328">
        <v>1</v>
      </c>
      <c r="Q328" t="s">
        <v>90</v>
      </c>
      <c r="R328" t="s">
        <v>111</v>
      </c>
    </row>
    <row r="329" spans="1:18">
      <c r="A329">
        <v>1538</v>
      </c>
      <c r="B329" t="s">
        <v>110</v>
      </c>
      <c r="C329">
        <v>8</v>
      </c>
      <c r="D329">
        <v>10</v>
      </c>
      <c r="E329" t="s">
        <v>94</v>
      </c>
      <c r="F329" t="s">
        <v>90</v>
      </c>
      <c r="G329" t="s">
        <v>15</v>
      </c>
      <c r="H329" t="s">
        <v>91</v>
      </c>
      <c r="I329">
        <v>20</v>
      </c>
      <c r="J329">
        <v>0</v>
      </c>
      <c r="K329">
        <v>7</v>
      </c>
      <c r="L329" t="s">
        <v>92</v>
      </c>
      <c r="M329">
        <v>23</v>
      </c>
      <c r="N329">
        <v>1</v>
      </c>
      <c r="O329" t="s">
        <v>15</v>
      </c>
      <c r="P329">
        <v>1</v>
      </c>
      <c r="Q329" t="s">
        <v>90</v>
      </c>
      <c r="R329" t="s">
        <v>111</v>
      </c>
    </row>
    <row r="330" spans="1:18">
      <c r="A330">
        <v>1539</v>
      </c>
      <c r="B330" t="s">
        <v>110</v>
      </c>
      <c r="C330">
        <v>9</v>
      </c>
      <c r="D330">
        <v>10</v>
      </c>
      <c r="E330" t="s">
        <v>94</v>
      </c>
      <c r="F330" t="s">
        <v>90</v>
      </c>
      <c r="G330" t="s">
        <v>15</v>
      </c>
      <c r="H330" t="s">
        <v>91</v>
      </c>
      <c r="I330">
        <v>20</v>
      </c>
      <c r="J330">
        <v>0</v>
      </c>
      <c r="K330">
        <v>7</v>
      </c>
      <c r="L330" t="s">
        <v>92</v>
      </c>
      <c r="M330">
        <v>23</v>
      </c>
      <c r="N330">
        <v>1</v>
      </c>
      <c r="O330" t="s">
        <v>15</v>
      </c>
      <c r="P330">
        <v>1</v>
      </c>
      <c r="Q330" t="s">
        <v>90</v>
      </c>
      <c r="R330" t="s">
        <v>111</v>
      </c>
    </row>
    <row r="331" spans="1:18">
      <c r="A331">
        <v>1540</v>
      </c>
      <c r="B331" t="s">
        <v>110</v>
      </c>
      <c r="C331">
        <v>10</v>
      </c>
      <c r="D331">
        <v>9</v>
      </c>
      <c r="E331" t="s">
        <v>89</v>
      </c>
      <c r="F331" t="s">
        <v>90</v>
      </c>
      <c r="G331" t="s">
        <v>15</v>
      </c>
      <c r="H331" t="s">
        <v>91</v>
      </c>
      <c r="I331">
        <v>20</v>
      </c>
      <c r="J331">
        <v>0</v>
      </c>
      <c r="K331">
        <v>7</v>
      </c>
      <c r="L331" t="s">
        <v>92</v>
      </c>
      <c r="M331">
        <v>23</v>
      </c>
      <c r="N331">
        <v>1</v>
      </c>
      <c r="O331" t="s">
        <v>15</v>
      </c>
      <c r="P331">
        <v>1</v>
      </c>
      <c r="Q331" t="s">
        <v>90</v>
      </c>
      <c r="R331" t="s">
        <v>111</v>
      </c>
    </row>
    <row r="332" spans="1:18">
      <c r="A332">
        <v>1541</v>
      </c>
      <c r="B332" t="s">
        <v>110</v>
      </c>
      <c r="C332">
        <v>11</v>
      </c>
      <c r="D332">
        <v>11</v>
      </c>
      <c r="E332" t="s">
        <v>95</v>
      </c>
      <c r="F332" t="s">
        <v>90</v>
      </c>
      <c r="G332" t="s">
        <v>15</v>
      </c>
      <c r="H332" t="s">
        <v>91</v>
      </c>
      <c r="I332">
        <v>20</v>
      </c>
      <c r="J332">
        <v>13</v>
      </c>
      <c r="K332">
        <v>7</v>
      </c>
      <c r="L332" t="s">
        <v>92</v>
      </c>
      <c r="M332">
        <v>23</v>
      </c>
      <c r="N332">
        <v>1</v>
      </c>
      <c r="O332" t="s">
        <v>15</v>
      </c>
      <c r="P332">
        <v>1</v>
      </c>
      <c r="Q332" t="s">
        <v>90</v>
      </c>
      <c r="R332" t="s">
        <v>111</v>
      </c>
    </row>
    <row r="333" spans="1:18">
      <c r="A333">
        <v>1542</v>
      </c>
      <c r="B333" t="s">
        <v>110</v>
      </c>
      <c r="C333">
        <v>12</v>
      </c>
      <c r="D333">
        <v>11</v>
      </c>
      <c r="E333" t="s">
        <v>95</v>
      </c>
      <c r="F333" t="s">
        <v>90</v>
      </c>
      <c r="G333" t="s">
        <v>15</v>
      </c>
      <c r="H333" t="s">
        <v>91</v>
      </c>
      <c r="I333">
        <v>20</v>
      </c>
      <c r="J333">
        <v>0</v>
      </c>
      <c r="K333">
        <v>7</v>
      </c>
      <c r="L333" t="s">
        <v>92</v>
      </c>
      <c r="M333">
        <v>23</v>
      </c>
      <c r="N333">
        <v>1</v>
      </c>
      <c r="O333" t="s">
        <v>15</v>
      </c>
      <c r="P333">
        <v>1</v>
      </c>
      <c r="Q333" t="s">
        <v>90</v>
      </c>
      <c r="R333" t="s">
        <v>111</v>
      </c>
    </row>
    <row r="334" spans="1:18">
      <c r="A334">
        <v>1543</v>
      </c>
      <c r="B334" t="s">
        <v>110</v>
      </c>
      <c r="C334">
        <v>13</v>
      </c>
      <c r="D334">
        <v>11</v>
      </c>
      <c r="E334" t="s">
        <v>95</v>
      </c>
      <c r="F334" t="s">
        <v>90</v>
      </c>
      <c r="G334" t="s">
        <v>15</v>
      </c>
      <c r="H334" t="s">
        <v>91</v>
      </c>
      <c r="I334">
        <v>20</v>
      </c>
      <c r="J334">
        <v>0</v>
      </c>
      <c r="K334">
        <v>7</v>
      </c>
      <c r="L334" t="s">
        <v>92</v>
      </c>
      <c r="M334">
        <v>23</v>
      </c>
      <c r="N334">
        <v>1</v>
      </c>
      <c r="O334" t="s">
        <v>15</v>
      </c>
      <c r="P334">
        <v>1</v>
      </c>
      <c r="Q334" t="s">
        <v>90</v>
      </c>
      <c r="R334" t="s">
        <v>111</v>
      </c>
    </row>
    <row r="335" spans="1:18">
      <c r="A335">
        <v>1544</v>
      </c>
      <c r="B335" t="s">
        <v>110</v>
      </c>
      <c r="C335">
        <v>14</v>
      </c>
      <c r="D335">
        <v>11</v>
      </c>
      <c r="E335" t="s">
        <v>95</v>
      </c>
      <c r="F335" t="s">
        <v>90</v>
      </c>
      <c r="G335" t="s">
        <v>15</v>
      </c>
      <c r="H335" t="s">
        <v>91</v>
      </c>
      <c r="I335">
        <v>20</v>
      </c>
      <c r="J335">
        <v>0</v>
      </c>
      <c r="K335">
        <v>7</v>
      </c>
      <c r="L335" t="s">
        <v>92</v>
      </c>
      <c r="M335">
        <v>23</v>
      </c>
      <c r="N335">
        <v>1</v>
      </c>
      <c r="O335" t="s">
        <v>15</v>
      </c>
      <c r="P335">
        <v>1</v>
      </c>
      <c r="Q335" t="s">
        <v>90</v>
      </c>
      <c r="R335" t="s">
        <v>111</v>
      </c>
    </row>
    <row r="336" spans="1:18">
      <c r="A336">
        <v>1545</v>
      </c>
      <c r="B336" t="s">
        <v>110</v>
      </c>
      <c r="C336">
        <v>15</v>
      </c>
      <c r="D336">
        <v>11</v>
      </c>
      <c r="E336" t="s">
        <v>95</v>
      </c>
      <c r="F336" t="s">
        <v>90</v>
      </c>
      <c r="G336" t="s">
        <v>15</v>
      </c>
      <c r="H336" t="s">
        <v>91</v>
      </c>
      <c r="I336">
        <v>20</v>
      </c>
      <c r="J336">
        <v>0</v>
      </c>
      <c r="K336">
        <v>7</v>
      </c>
      <c r="L336" t="s">
        <v>92</v>
      </c>
      <c r="M336">
        <v>23</v>
      </c>
      <c r="N336">
        <v>1</v>
      </c>
      <c r="O336" t="s">
        <v>15</v>
      </c>
      <c r="P336">
        <v>1</v>
      </c>
      <c r="Q336" t="s">
        <v>90</v>
      </c>
      <c r="R336" t="s">
        <v>111</v>
      </c>
    </row>
    <row r="337" spans="1:18">
      <c r="A337">
        <v>1546</v>
      </c>
      <c r="B337" t="s">
        <v>110</v>
      </c>
      <c r="C337">
        <v>16</v>
      </c>
      <c r="D337">
        <v>11</v>
      </c>
      <c r="E337" t="s">
        <v>95</v>
      </c>
      <c r="F337" t="s">
        <v>90</v>
      </c>
      <c r="G337" t="s">
        <v>15</v>
      </c>
      <c r="H337" t="s">
        <v>91</v>
      </c>
      <c r="I337">
        <v>20</v>
      </c>
      <c r="J337">
        <v>0</v>
      </c>
      <c r="K337">
        <v>7</v>
      </c>
      <c r="L337" t="s">
        <v>92</v>
      </c>
      <c r="M337">
        <v>23</v>
      </c>
      <c r="N337">
        <v>1</v>
      </c>
      <c r="O337" t="s">
        <v>15</v>
      </c>
      <c r="P337">
        <v>1</v>
      </c>
      <c r="Q337" t="s">
        <v>90</v>
      </c>
      <c r="R337" t="s">
        <v>111</v>
      </c>
    </row>
    <row r="338" spans="1:18">
      <c r="A338">
        <v>1547</v>
      </c>
      <c r="B338" t="s">
        <v>110</v>
      </c>
      <c r="C338">
        <v>17</v>
      </c>
      <c r="D338">
        <v>11</v>
      </c>
      <c r="E338" t="s">
        <v>95</v>
      </c>
      <c r="F338" t="s">
        <v>90</v>
      </c>
      <c r="G338" t="s">
        <v>15</v>
      </c>
      <c r="H338" t="s">
        <v>91</v>
      </c>
      <c r="I338">
        <v>20</v>
      </c>
      <c r="J338">
        <v>0</v>
      </c>
      <c r="K338">
        <v>7</v>
      </c>
      <c r="L338" t="s">
        <v>92</v>
      </c>
      <c r="M338">
        <v>23</v>
      </c>
      <c r="N338">
        <v>1</v>
      </c>
      <c r="O338" t="s">
        <v>15</v>
      </c>
      <c r="P338">
        <v>1</v>
      </c>
      <c r="Q338" t="s">
        <v>90</v>
      </c>
      <c r="R338" t="s">
        <v>111</v>
      </c>
    </row>
    <row r="339" spans="1:18">
      <c r="A339">
        <v>1548</v>
      </c>
      <c r="B339" t="s">
        <v>110</v>
      </c>
      <c r="C339">
        <v>18</v>
      </c>
      <c r="D339">
        <v>11</v>
      </c>
      <c r="E339" t="s">
        <v>95</v>
      </c>
      <c r="F339" t="s">
        <v>90</v>
      </c>
      <c r="G339" t="s">
        <v>15</v>
      </c>
      <c r="H339" t="s">
        <v>91</v>
      </c>
      <c r="I339">
        <v>20</v>
      </c>
      <c r="J339">
        <v>0</v>
      </c>
      <c r="K339">
        <v>7</v>
      </c>
      <c r="L339" t="s">
        <v>92</v>
      </c>
      <c r="M339">
        <v>23</v>
      </c>
      <c r="N339">
        <v>1</v>
      </c>
      <c r="O339" t="s">
        <v>15</v>
      </c>
      <c r="P339">
        <v>1</v>
      </c>
      <c r="Q339" t="s">
        <v>90</v>
      </c>
      <c r="R339" t="s">
        <v>111</v>
      </c>
    </row>
    <row r="340" spans="1:18">
      <c r="A340">
        <v>1549</v>
      </c>
      <c r="B340" t="s">
        <v>110</v>
      </c>
      <c r="C340">
        <v>19</v>
      </c>
      <c r="D340">
        <v>11</v>
      </c>
      <c r="E340" t="s">
        <v>95</v>
      </c>
      <c r="F340" t="s">
        <v>90</v>
      </c>
      <c r="G340" t="s">
        <v>15</v>
      </c>
      <c r="H340" t="s">
        <v>91</v>
      </c>
      <c r="I340">
        <v>20</v>
      </c>
      <c r="J340">
        <v>0</v>
      </c>
      <c r="K340">
        <v>7</v>
      </c>
      <c r="L340" t="s">
        <v>92</v>
      </c>
      <c r="M340">
        <v>23</v>
      </c>
      <c r="N340">
        <v>1</v>
      </c>
      <c r="O340" t="s">
        <v>15</v>
      </c>
      <c r="P340">
        <v>1</v>
      </c>
      <c r="Q340" t="s">
        <v>90</v>
      </c>
      <c r="R340" t="s">
        <v>111</v>
      </c>
    </row>
    <row r="341" spans="1:18">
      <c r="A341">
        <v>1550</v>
      </c>
      <c r="B341" t="s">
        <v>110</v>
      </c>
      <c r="C341">
        <v>20</v>
      </c>
      <c r="D341">
        <v>11</v>
      </c>
      <c r="E341" t="s">
        <v>95</v>
      </c>
      <c r="F341" t="s">
        <v>90</v>
      </c>
      <c r="G341" t="s">
        <v>15</v>
      </c>
      <c r="H341" t="s">
        <v>91</v>
      </c>
      <c r="I341">
        <v>20</v>
      </c>
      <c r="J341">
        <v>0</v>
      </c>
      <c r="K341">
        <v>7</v>
      </c>
      <c r="L341" t="s">
        <v>92</v>
      </c>
      <c r="M341">
        <v>23</v>
      </c>
      <c r="N341">
        <v>1</v>
      </c>
      <c r="O341" t="s">
        <v>15</v>
      </c>
      <c r="P341">
        <v>1</v>
      </c>
      <c r="Q341" t="s">
        <v>90</v>
      </c>
      <c r="R341" t="s">
        <v>111</v>
      </c>
    </row>
    <row r="342" spans="1:18">
      <c r="A342">
        <v>1551</v>
      </c>
      <c r="B342" t="s">
        <v>110</v>
      </c>
      <c r="C342">
        <v>21</v>
      </c>
      <c r="D342">
        <v>9</v>
      </c>
      <c r="E342" t="s">
        <v>89</v>
      </c>
      <c r="F342" t="s">
        <v>90</v>
      </c>
      <c r="G342" t="s">
        <v>15</v>
      </c>
      <c r="H342" t="s">
        <v>91</v>
      </c>
      <c r="I342">
        <v>20</v>
      </c>
      <c r="J342">
        <v>0</v>
      </c>
      <c r="K342">
        <v>7</v>
      </c>
      <c r="L342" t="s">
        <v>92</v>
      </c>
      <c r="M342">
        <v>23</v>
      </c>
      <c r="N342">
        <v>1</v>
      </c>
      <c r="O342" t="s">
        <v>15</v>
      </c>
      <c r="P342">
        <v>1</v>
      </c>
      <c r="Q342" t="s">
        <v>90</v>
      </c>
      <c r="R342" t="s">
        <v>111</v>
      </c>
    </row>
    <row r="343" spans="1:18">
      <c r="A343">
        <v>1552</v>
      </c>
      <c r="B343" t="s">
        <v>110</v>
      </c>
      <c r="C343">
        <v>22</v>
      </c>
      <c r="D343">
        <v>10</v>
      </c>
      <c r="E343" t="s">
        <v>94</v>
      </c>
      <c r="F343" t="s">
        <v>90</v>
      </c>
      <c r="G343" t="s">
        <v>15</v>
      </c>
      <c r="H343" t="s">
        <v>91</v>
      </c>
      <c r="I343">
        <v>20</v>
      </c>
      <c r="J343">
        <v>0</v>
      </c>
      <c r="K343">
        <v>7</v>
      </c>
      <c r="L343" t="s">
        <v>92</v>
      </c>
      <c r="M343">
        <v>23</v>
      </c>
      <c r="N343">
        <v>1</v>
      </c>
      <c r="O343" t="s">
        <v>15</v>
      </c>
      <c r="P343">
        <v>1</v>
      </c>
      <c r="Q343" t="s">
        <v>90</v>
      </c>
      <c r="R343" t="s">
        <v>111</v>
      </c>
    </row>
    <row r="344" spans="1:18">
      <c r="A344">
        <v>1553</v>
      </c>
      <c r="B344" t="s">
        <v>110</v>
      </c>
      <c r="C344">
        <v>23</v>
      </c>
      <c r="D344">
        <v>9</v>
      </c>
      <c r="E344" t="s">
        <v>89</v>
      </c>
      <c r="F344" t="s">
        <v>90</v>
      </c>
      <c r="G344" t="s">
        <v>15</v>
      </c>
      <c r="H344" t="s">
        <v>91</v>
      </c>
      <c r="I344">
        <v>20</v>
      </c>
      <c r="J344">
        <v>0</v>
      </c>
      <c r="K344">
        <v>7</v>
      </c>
      <c r="L344" t="s">
        <v>92</v>
      </c>
      <c r="M344">
        <v>23</v>
      </c>
      <c r="N344">
        <v>1</v>
      </c>
      <c r="O344" t="s">
        <v>15</v>
      </c>
      <c r="P344">
        <v>1</v>
      </c>
      <c r="Q344" t="s">
        <v>90</v>
      </c>
      <c r="R344" t="s">
        <v>111</v>
      </c>
    </row>
    <row r="345" spans="1:18">
      <c r="A345">
        <v>1554</v>
      </c>
      <c r="B345" t="s">
        <v>110</v>
      </c>
      <c r="C345">
        <v>24</v>
      </c>
      <c r="D345">
        <v>10</v>
      </c>
      <c r="E345" t="s">
        <v>94</v>
      </c>
      <c r="F345" t="s">
        <v>90</v>
      </c>
      <c r="G345" t="s">
        <v>15</v>
      </c>
      <c r="H345" t="s">
        <v>91</v>
      </c>
      <c r="I345">
        <v>20</v>
      </c>
      <c r="J345">
        <v>0</v>
      </c>
      <c r="K345">
        <v>7</v>
      </c>
      <c r="L345" t="s">
        <v>92</v>
      </c>
      <c r="M345">
        <v>23</v>
      </c>
      <c r="N345">
        <v>1</v>
      </c>
      <c r="O345" t="s">
        <v>15</v>
      </c>
      <c r="P345">
        <v>1</v>
      </c>
      <c r="Q345" t="s">
        <v>90</v>
      </c>
      <c r="R345" t="s">
        <v>111</v>
      </c>
    </row>
    <row r="346" spans="1:18">
      <c r="A346">
        <v>1555</v>
      </c>
      <c r="B346" t="s">
        <v>110</v>
      </c>
      <c r="C346">
        <v>25</v>
      </c>
      <c r="D346">
        <v>9</v>
      </c>
      <c r="E346" t="s">
        <v>89</v>
      </c>
      <c r="F346" t="s">
        <v>90</v>
      </c>
      <c r="G346" t="s">
        <v>15</v>
      </c>
      <c r="H346" t="s">
        <v>91</v>
      </c>
      <c r="I346">
        <v>20</v>
      </c>
      <c r="J346">
        <v>0</v>
      </c>
      <c r="K346">
        <v>7</v>
      </c>
      <c r="L346" t="s">
        <v>92</v>
      </c>
      <c r="M346">
        <v>23</v>
      </c>
      <c r="N346">
        <v>1</v>
      </c>
      <c r="O346" t="s">
        <v>15</v>
      </c>
      <c r="P346">
        <v>1</v>
      </c>
      <c r="Q346" t="s">
        <v>90</v>
      </c>
      <c r="R346" t="s">
        <v>111</v>
      </c>
    </row>
    <row r="347" spans="1:18">
      <c r="A347">
        <v>1556</v>
      </c>
      <c r="B347" t="s">
        <v>110</v>
      </c>
      <c r="C347">
        <v>26</v>
      </c>
      <c r="D347">
        <v>10</v>
      </c>
      <c r="E347" t="s">
        <v>94</v>
      </c>
      <c r="F347" t="s">
        <v>90</v>
      </c>
      <c r="G347" t="s">
        <v>15</v>
      </c>
      <c r="H347" t="s">
        <v>91</v>
      </c>
      <c r="I347">
        <v>20</v>
      </c>
      <c r="J347">
        <v>0</v>
      </c>
      <c r="K347">
        <v>7</v>
      </c>
      <c r="L347" t="s">
        <v>92</v>
      </c>
      <c r="M347">
        <v>23</v>
      </c>
      <c r="N347">
        <v>1</v>
      </c>
      <c r="O347" t="s">
        <v>15</v>
      </c>
      <c r="P347">
        <v>1</v>
      </c>
      <c r="Q347" t="s">
        <v>90</v>
      </c>
      <c r="R347" t="s">
        <v>111</v>
      </c>
    </row>
    <row r="348" spans="1:18">
      <c r="A348">
        <v>1557</v>
      </c>
      <c r="B348" t="s">
        <v>110</v>
      </c>
      <c r="C348">
        <v>27</v>
      </c>
      <c r="D348">
        <v>9</v>
      </c>
      <c r="E348" t="s">
        <v>89</v>
      </c>
      <c r="F348" t="s">
        <v>90</v>
      </c>
      <c r="G348" t="s">
        <v>15</v>
      </c>
      <c r="H348" t="s">
        <v>91</v>
      </c>
      <c r="I348">
        <v>20</v>
      </c>
      <c r="J348">
        <v>0</v>
      </c>
      <c r="K348">
        <v>7</v>
      </c>
      <c r="L348" t="s">
        <v>92</v>
      </c>
      <c r="M348">
        <v>23</v>
      </c>
      <c r="N348">
        <v>1</v>
      </c>
      <c r="O348" t="s">
        <v>15</v>
      </c>
      <c r="P348">
        <v>1</v>
      </c>
      <c r="Q348" t="s">
        <v>90</v>
      </c>
      <c r="R348" t="s">
        <v>111</v>
      </c>
    </row>
    <row r="349" spans="1:18">
      <c r="A349">
        <v>1558</v>
      </c>
      <c r="B349" t="s">
        <v>110</v>
      </c>
      <c r="C349">
        <v>28</v>
      </c>
      <c r="D349">
        <v>10</v>
      </c>
      <c r="E349" t="s">
        <v>94</v>
      </c>
      <c r="F349" t="s">
        <v>90</v>
      </c>
      <c r="G349" t="s">
        <v>15</v>
      </c>
      <c r="H349" t="s">
        <v>91</v>
      </c>
      <c r="I349">
        <v>20</v>
      </c>
      <c r="J349">
        <v>0</v>
      </c>
      <c r="K349">
        <v>7</v>
      </c>
      <c r="L349" t="s">
        <v>92</v>
      </c>
      <c r="M349">
        <v>23</v>
      </c>
      <c r="N349">
        <v>1</v>
      </c>
      <c r="O349" t="s">
        <v>15</v>
      </c>
      <c r="P349">
        <v>1</v>
      </c>
      <c r="Q349" t="s">
        <v>90</v>
      </c>
      <c r="R349" t="s">
        <v>111</v>
      </c>
    </row>
    <row r="350" spans="1:18">
      <c r="A350">
        <v>1559</v>
      </c>
      <c r="B350" t="s">
        <v>110</v>
      </c>
      <c r="C350">
        <v>29</v>
      </c>
      <c r="D350">
        <v>9</v>
      </c>
      <c r="E350" t="s">
        <v>89</v>
      </c>
      <c r="F350" t="s">
        <v>90</v>
      </c>
      <c r="G350" t="s">
        <v>15</v>
      </c>
      <c r="H350" t="s">
        <v>91</v>
      </c>
      <c r="I350">
        <v>20</v>
      </c>
      <c r="J350">
        <v>0</v>
      </c>
      <c r="K350">
        <v>7</v>
      </c>
      <c r="L350" t="s">
        <v>92</v>
      </c>
      <c r="M350">
        <v>23</v>
      </c>
      <c r="N350">
        <v>1</v>
      </c>
      <c r="O350" t="s">
        <v>15</v>
      </c>
      <c r="P350">
        <v>1</v>
      </c>
      <c r="Q350" t="s">
        <v>90</v>
      </c>
      <c r="R350" t="s">
        <v>111</v>
      </c>
    </row>
    <row r="351" spans="1:18">
      <c r="A351">
        <v>1560</v>
      </c>
      <c r="B351" t="s">
        <v>110</v>
      </c>
      <c r="C351">
        <v>30</v>
      </c>
      <c r="D351">
        <v>10</v>
      </c>
      <c r="E351" t="s">
        <v>94</v>
      </c>
      <c r="F351" t="s">
        <v>90</v>
      </c>
      <c r="G351" t="s">
        <v>15</v>
      </c>
      <c r="H351" t="s">
        <v>91</v>
      </c>
      <c r="I351">
        <v>20</v>
      </c>
      <c r="J351">
        <v>0</v>
      </c>
      <c r="K351">
        <v>7</v>
      </c>
      <c r="L351" t="s">
        <v>92</v>
      </c>
      <c r="M351">
        <v>23</v>
      </c>
      <c r="N351">
        <v>1</v>
      </c>
      <c r="O351" t="s">
        <v>15</v>
      </c>
      <c r="P351">
        <v>1</v>
      </c>
      <c r="Q351" t="s">
        <v>90</v>
      </c>
      <c r="R351" t="s">
        <v>111</v>
      </c>
    </row>
    <row r="352" spans="1:18">
      <c r="A352">
        <v>1561</v>
      </c>
      <c r="B352" t="s">
        <v>110</v>
      </c>
      <c r="C352">
        <v>31</v>
      </c>
      <c r="D352">
        <v>12</v>
      </c>
      <c r="E352" t="s">
        <v>96</v>
      </c>
      <c r="F352" t="s">
        <v>90</v>
      </c>
      <c r="G352" t="s">
        <v>15</v>
      </c>
      <c r="H352" t="s">
        <v>91</v>
      </c>
      <c r="I352">
        <v>20</v>
      </c>
      <c r="J352">
        <v>0</v>
      </c>
      <c r="K352">
        <v>7</v>
      </c>
      <c r="L352" t="s">
        <v>92</v>
      </c>
      <c r="M352">
        <v>23</v>
      </c>
      <c r="N352">
        <v>1</v>
      </c>
      <c r="O352" t="s">
        <v>15</v>
      </c>
      <c r="P352">
        <v>1</v>
      </c>
      <c r="Q352" t="s">
        <v>90</v>
      </c>
      <c r="R352" t="s">
        <v>111</v>
      </c>
    </row>
    <row r="353" spans="1:18">
      <c r="A353">
        <v>1562</v>
      </c>
      <c r="B353" t="s">
        <v>110</v>
      </c>
      <c r="C353">
        <v>32</v>
      </c>
      <c r="D353">
        <v>12</v>
      </c>
      <c r="E353" t="s">
        <v>96</v>
      </c>
      <c r="F353" t="s">
        <v>90</v>
      </c>
      <c r="G353" t="s">
        <v>15</v>
      </c>
      <c r="H353" t="s">
        <v>91</v>
      </c>
      <c r="I353">
        <v>20</v>
      </c>
      <c r="J353">
        <v>0</v>
      </c>
      <c r="K353">
        <v>7</v>
      </c>
      <c r="L353" t="s">
        <v>92</v>
      </c>
      <c r="M353">
        <v>23</v>
      </c>
      <c r="N353">
        <v>1</v>
      </c>
      <c r="O353" t="s">
        <v>15</v>
      </c>
      <c r="P353">
        <v>1</v>
      </c>
      <c r="Q353" t="s">
        <v>90</v>
      </c>
      <c r="R353" t="s">
        <v>111</v>
      </c>
    </row>
    <row r="354" spans="1:18">
      <c r="A354">
        <v>1563</v>
      </c>
      <c r="B354" t="s">
        <v>110</v>
      </c>
      <c r="C354">
        <v>33</v>
      </c>
      <c r="D354">
        <v>12</v>
      </c>
      <c r="E354" t="s">
        <v>96</v>
      </c>
      <c r="F354" t="s">
        <v>90</v>
      </c>
      <c r="G354" t="s">
        <v>15</v>
      </c>
      <c r="H354" t="s">
        <v>91</v>
      </c>
      <c r="I354">
        <v>20</v>
      </c>
      <c r="J354">
        <v>0</v>
      </c>
      <c r="K354">
        <v>7</v>
      </c>
      <c r="L354" t="s">
        <v>92</v>
      </c>
      <c r="M354">
        <v>23</v>
      </c>
      <c r="N354">
        <v>1</v>
      </c>
      <c r="O354" t="s">
        <v>15</v>
      </c>
      <c r="P354">
        <v>1</v>
      </c>
      <c r="Q354" t="s">
        <v>90</v>
      </c>
      <c r="R354" t="s">
        <v>111</v>
      </c>
    </row>
    <row r="355" spans="1:18">
      <c r="A355">
        <v>1564</v>
      </c>
      <c r="B355" t="s">
        <v>110</v>
      </c>
      <c r="C355">
        <v>34</v>
      </c>
      <c r="D355">
        <v>12</v>
      </c>
      <c r="E355" t="s">
        <v>96</v>
      </c>
      <c r="F355" t="s">
        <v>90</v>
      </c>
      <c r="G355" t="s">
        <v>15</v>
      </c>
      <c r="H355" t="s">
        <v>91</v>
      </c>
      <c r="I355">
        <v>20</v>
      </c>
      <c r="J355">
        <v>0</v>
      </c>
      <c r="K355">
        <v>7</v>
      </c>
      <c r="L355" t="s">
        <v>92</v>
      </c>
      <c r="M355">
        <v>23</v>
      </c>
      <c r="N355">
        <v>1</v>
      </c>
      <c r="O355" t="s">
        <v>15</v>
      </c>
      <c r="P355">
        <v>1</v>
      </c>
      <c r="Q355" t="s">
        <v>90</v>
      </c>
      <c r="R355" t="s">
        <v>111</v>
      </c>
    </row>
    <row r="356" spans="1:18">
      <c r="A356">
        <v>1565</v>
      </c>
      <c r="B356" t="s">
        <v>110</v>
      </c>
      <c r="C356">
        <v>35</v>
      </c>
      <c r="D356">
        <v>12</v>
      </c>
      <c r="E356" t="s">
        <v>96</v>
      </c>
      <c r="F356" t="s">
        <v>90</v>
      </c>
      <c r="G356" t="s">
        <v>15</v>
      </c>
      <c r="H356" t="s">
        <v>91</v>
      </c>
      <c r="I356">
        <v>20</v>
      </c>
      <c r="J356">
        <v>0</v>
      </c>
      <c r="K356">
        <v>7</v>
      </c>
      <c r="L356" t="s">
        <v>92</v>
      </c>
      <c r="M356">
        <v>23</v>
      </c>
      <c r="N356">
        <v>1</v>
      </c>
      <c r="O356" t="s">
        <v>15</v>
      </c>
      <c r="P356">
        <v>1</v>
      </c>
      <c r="Q356" t="s">
        <v>90</v>
      </c>
      <c r="R356" t="s">
        <v>111</v>
      </c>
    </row>
    <row r="357" spans="1:18">
      <c r="A357">
        <v>1566</v>
      </c>
      <c r="B357" t="s">
        <v>110</v>
      </c>
      <c r="C357">
        <v>36</v>
      </c>
      <c r="D357">
        <v>12</v>
      </c>
      <c r="E357" t="s">
        <v>96</v>
      </c>
      <c r="F357" t="s">
        <v>90</v>
      </c>
      <c r="G357" t="s">
        <v>15</v>
      </c>
      <c r="H357" t="s">
        <v>91</v>
      </c>
      <c r="I357">
        <v>20</v>
      </c>
      <c r="J357">
        <v>0</v>
      </c>
      <c r="K357">
        <v>7</v>
      </c>
      <c r="L357" t="s">
        <v>92</v>
      </c>
      <c r="M357">
        <v>23</v>
      </c>
      <c r="N357">
        <v>1</v>
      </c>
      <c r="O357" t="s">
        <v>15</v>
      </c>
      <c r="P357">
        <v>1</v>
      </c>
      <c r="Q357" t="s">
        <v>90</v>
      </c>
      <c r="R357" t="s">
        <v>111</v>
      </c>
    </row>
    <row r="358" spans="1:18">
      <c r="A358">
        <v>1567</v>
      </c>
      <c r="B358" t="s">
        <v>110</v>
      </c>
      <c r="C358">
        <v>37</v>
      </c>
      <c r="D358">
        <v>12</v>
      </c>
      <c r="E358" t="s">
        <v>96</v>
      </c>
      <c r="F358" t="s">
        <v>90</v>
      </c>
      <c r="G358" t="s">
        <v>15</v>
      </c>
      <c r="H358" t="s">
        <v>91</v>
      </c>
      <c r="I358">
        <v>20</v>
      </c>
      <c r="J358">
        <v>0</v>
      </c>
      <c r="K358">
        <v>7</v>
      </c>
      <c r="L358" t="s">
        <v>92</v>
      </c>
      <c r="M358">
        <v>23</v>
      </c>
      <c r="N358">
        <v>1</v>
      </c>
      <c r="O358" t="s">
        <v>15</v>
      </c>
      <c r="P358">
        <v>1</v>
      </c>
      <c r="Q358" t="s">
        <v>90</v>
      </c>
      <c r="R358" t="s">
        <v>111</v>
      </c>
    </row>
    <row r="359" spans="1:18">
      <c r="A359">
        <v>1568</v>
      </c>
      <c r="B359" t="s">
        <v>110</v>
      </c>
      <c r="C359">
        <v>38</v>
      </c>
      <c r="D359">
        <v>12</v>
      </c>
      <c r="E359" t="s">
        <v>96</v>
      </c>
      <c r="F359" t="s">
        <v>90</v>
      </c>
      <c r="G359" t="s">
        <v>15</v>
      </c>
      <c r="H359" t="s">
        <v>91</v>
      </c>
      <c r="I359">
        <v>20</v>
      </c>
      <c r="J359">
        <v>0</v>
      </c>
      <c r="K359">
        <v>7</v>
      </c>
      <c r="L359" t="s">
        <v>92</v>
      </c>
      <c r="M359">
        <v>23</v>
      </c>
      <c r="N359">
        <v>1</v>
      </c>
      <c r="O359" t="s">
        <v>15</v>
      </c>
      <c r="P359">
        <v>1</v>
      </c>
      <c r="Q359" t="s">
        <v>90</v>
      </c>
      <c r="R359" t="s">
        <v>111</v>
      </c>
    </row>
    <row r="360" spans="1:18">
      <c r="A360">
        <v>1569</v>
      </c>
      <c r="B360" t="s">
        <v>110</v>
      </c>
      <c r="C360">
        <v>39</v>
      </c>
      <c r="D360">
        <v>12</v>
      </c>
      <c r="E360" t="s">
        <v>96</v>
      </c>
      <c r="F360" t="s">
        <v>90</v>
      </c>
      <c r="G360" t="s">
        <v>15</v>
      </c>
      <c r="H360" t="s">
        <v>91</v>
      </c>
      <c r="I360">
        <v>20</v>
      </c>
      <c r="J360">
        <v>0</v>
      </c>
      <c r="K360">
        <v>7</v>
      </c>
      <c r="L360" t="s">
        <v>92</v>
      </c>
      <c r="M360">
        <v>23</v>
      </c>
      <c r="N360">
        <v>1</v>
      </c>
      <c r="O360" t="s">
        <v>15</v>
      </c>
      <c r="P360">
        <v>1</v>
      </c>
      <c r="Q360" t="s">
        <v>90</v>
      </c>
      <c r="R360" t="s">
        <v>111</v>
      </c>
    </row>
    <row r="361" spans="1:18">
      <c r="A361">
        <v>1570</v>
      </c>
      <c r="B361" t="s">
        <v>110</v>
      </c>
      <c r="C361">
        <v>40</v>
      </c>
      <c r="D361">
        <v>12</v>
      </c>
      <c r="E361" t="s">
        <v>96</v>
      </c>
      <c r="F361" t="s">
        <v>90</v>
      </c>
      <c r="G361" t="s">
        <v>15</v>
      </c>
      <c r="H361" t="s">
        <v>91</v>
      </c>
      <c r="I361">
        <v>20</v>
      </c>
      <c r="J361">
        <v>0</v>
      </c>
      <c r="K361">
        <v>7</v>
      </c>
      <c r="L361" t="s">
        <v>92</v>
      </c>
      <c r="M361">
        <v>23</v>
      </c>
      <c r="N361">
        <v>1</v>
      </c>
      <c r="O361" t="s">
        <v>15</v>
      </c>
      <c r="P361">
        <v>1</v>
      </c>
      <c r="Q361" t="s">
        <v>90</v>
      </c>
      <c r="R361" t="s">
        <v>111</v>
      </c>
    </row>
    <row r="362" spans="1:18">
      <c r="A362">
        <v>1571</v>
      </c>
      <c r="B362" t="s">
        <v>112</v>
      </c>
      <c r="C362">
        <v>1</v>
      </c>
      <c r="D362">
        <v>9</v>
      </c>
      <c r="E362" t="s">
        <v>89</v>
      </c>
      <c r="F362" t="s">
        <v>90</v>
      </c>
      <c r="G362" t="s">
        <v>15</v>
      </c>
      <c r="H362" t="s">
        <v>91</v>
      </c>
      <c r="I362">
        <v>20</v>
      </c>
      <c r="J362">
        <v>12</v>
      </c>
      <c r="K362">
        <v>7</v>
      </c>
      <c r="L362" t="s">
        <v>92</v>
      </c>
      <c r="M362">
        <v>24</v>
      </c>
      <c r="N362">
        <v>1</v>
      </c>
      <c r="O362" t="s">
        <v>15</v>
      </c>
      <c r="P362">
        <v>1</v>
      </c>
      <c r="Q362" t="s">
        <v>90</v>
      </c>
      <c r="R362" t="s">
        <v>113</v>
      </c>
    </row>
    <row r="363" spans="1:18">
      <c r="A363">
        <v>1572</v>
      </c>
      <c r="B363" t="s">
        <v>112</v>
      </c>
      <c r="C363">
        <v>2</v>
      </c>
      <c r="D363">
        <v>10</v>
      </c>
      <c r="E363" t="s">
        <v>94</v>
      </c>
      <c r="F363" t="s">
        <v>90</v>
      </c>
      <c r="G363" t="s">
        <v>15</v>
      </c>
      <c r="H363" t="s">
        <v>91</v>
      </c>
      <c r="I363">
        <v>20</v>
      </c>
      <c r="J363">
        <v>18</v>
      </c>
      <c r="K363">
        <v>7</v>
      </c>
      <c r="L363" t="s">
        <v>92</v>
      </c>
      <c r="M363">
        <v>24</v>
      </c>
      <c r="N363">
        <v>1</v>
      </c>
      <c r="O363" t="s">
        <v>15</v>
      </c>
      <c r="P363">
        <v>1</v>
      </c>
      <c r="Q363" t="s">
        <v>90</v>
      </c>
      <c r="R363" t="s">
        <v>113</v>
      </c>
    </row>
    <row r="364" spans="1:18">
      <c r="A364">
        <v>1573</v>
      </c>
      <c r="B364" t="s">
        <v>112</v>
      </c>
      <c r="C364">
        <v>3</v>
      </c>
      <c r="D364">
        <v>9</v>
      </c>
      <c r="E364" t="s">
        <v>89</v>
      </c>
      <c r="F364" t="s">
        <v>90</v>
      </c>
      <c r="G364" t="s">
        <v>15</v>
      </c>
      <c r="H364" t="s">
        <v>91</v>
      </c>
      <c r="I364">
        <v>20</v>
      </c>
      <c r="J364">
        <v>0</v>
      </c>
      <c r="K364">
        <v>7</v>
      </c>
      <c r="L364" t="s">
        <v>92</v>
      </c>
      <c r="M364">
        <v>24</v>
      </c>
      <c r="N364">
        <v>1</v>
      </c>
      <c r="O364" t="s">
        <v>15</v>
      </c>
      <c r="P364">
        <v>1</v>
      </c>
      <c r="Q364" t="s">
        <v>90</v>
      </c>
      <c r="R364" t="s">
        <v>113</v>
      </c>
    </row>
    <row r="365" spans="1:18">
      <c r="A365">
        <v>1574</v>
      </c>
      <c r="B365" t="s">
        <v>112</v>
      </c>
      <c r="C365">
        <v>4</v>
      </c>
      <c r="D365">
        <v>9</v>
      </c>
      <c r="E365" t="s">
        <v>89</v>
      </c>
      <c r="F365" t="s">
        <v>90</v>
      </c>
      <c r="G365" t="s">
        <v>15</v>
      </c>
      <c r="H365" t="s">
        <v>91</v>
      </c>
      <c r="I365">
        <v>20</v>
      </c>
      <c r="J365">
        <v>0</v>
      </c>
      <c r="K365">
        <v>7</v>
      </c>
      <c r="L365" t="s">
        <v>92</v>
      </c>
      <c r="M365">
        <v>24</v>
      </c>
      <c r="N365">
        <v>1</v>
      </c>
      <c r="O365" t="s">
        <v>15</v>
      </c>
      <c r="P365">
        <v>1</v>
      </c>
      <c r="Q365" t="s">
        <v>90</v>
      </c>
      <c r="R365" t="s">
        <v>113</v>
      </c>
    </row>
    <row r="366" spans="1:18">
      <c r="A366">
        <v>1575</v>
      </c>
      <c r="B366" t="s">
        <v>112</v>
      </c>
      <c r="C366">
        <v>5</v>
      </c>
      <c r="D366">
        <v>9</v>
      </c>
      <c r="E366" t="s">
        <v>89</v>
      </c>
      <c r="F366" t="s">
        <v>90</v>
      </c>
      <c r="G366" t="s">
        <v>15</v>
      </c>
      <c r="H366" t="s">
        <v>91</v>
      </c>
      <c r="I366">
        <v>20</v>
      </c>
      <c r="J366">
        <v>0</v>
      </c>
      <c r="K366">
        <v>7</v>
      </c>
      <c r="L366" t="s">
        <v>92</v>
      </c>
      <c r="M366">
        <v>24</v>
      </c>
      <c r="N366">
        <v>1</v>
      </c>
      <c r="O366" t="s">
        <v>15</v>
      </c>
      <c r="P366">
        <v>1</v>
      </c>
      <c r="Q366" t="s">
        <v>90</v>
      </c>
      <c r="R366" t="s">
        <v>113</v>
      </c>
    </row>
    <row r="367" spans="1:18">
      <c r="A367">
        <v>1576</v>
      </c>
      <c r="B367" t="s">
        <v>112</v>
      </c>
      <c r="C367">
        <v>6</v>
      </c>
      <c r="D367">
        <v>10</v>
      </c>
      <c r="E367" t="s">
        <v>94</v>
      </c>
      <c r="F367" t="s">
        <v>90</v>
      </c>
      <c r="G367" t="s">
        <v>15</v>
      </c>
      <c r="H367" t="s">
        <v>91</v>
      </c>
      <c r="I367">
        <v>20</v>
      </c>
      <c r="J367">
        <v>0</v>
      </c>
      <c r="K367">
        <v>7</v>
      </c>
      <c r="L367" t="s">
        <v>92</v>
      </c>
      <c r="M367">
        <v>24</v>
      </c>
      <c r="N367">
        <v>1</v>
      </c>
      <c r="O367" t="s">
        <v>15</v>
      </c>
      <c r="P367">
        <v>1</v>
      </c>
      <c r="Q367" t="s">
        <v>90</v>
      </c>
      <c r="R367" t="s">
        <v>113</v>
      </c>
    </row>
    <row r="368" spans="1:18">
      <c r="A368">
        <v>1577</v>
      </c>
      <c r="B368" t="s">
        <v>112</v>
      </c>
      <c r="C368">
        <v>7</v>
      </c>
      <c r="D368">
        <v>10</v>
      </c>
      <c r="E368" t="s">
        <v>94</v>
      </c>
      <c r="F368" t="s">
        <v>90</v>
      </c>
      <c r="G368" t="s">
        <v>15</v>
      </c>
      <c r="H368" t="s">
        <v>91</v>
      </c>
      <c r="I368">
        <v>20</v>
      </c>
      <c r="J368">
        <v>0</v>
      </c>
      <c r="K368">
        <v>7</v>
      </c>
      <c r="L368" t="s">
        <v>92</v>
      </c>
      <c r="M368">
        <v>24</v>
      </c>
      <c r="N368">
        <v>1</v>
      </c>
      <c r="O368" t="s">
        <v>15</v>
      </c>
      <c r="P368">
        <v>1</v>
      </c>
      <c r="Q368" t="s">
        <v>90</v>
      </c>
      <c r="R368" t="s">
        <v>113</v>
      </c>
    </row>
    <row r="369" spans="1:18">
      <c r="A369">
        <v>1578</v>
      </c>
      <c r="B369" t="s">
        <v>112</v>
      </c>
      <c r="C369">
        <v>8</v>
      </c>
      <c r="D369">
        <v>10</v>
      </c>
      <c r="E369" t="s">
        <v>94</v>
      </c>
      <c r="F369" t="s">
        <v>90</v>
      </c>
      <c r="G369" t="s">
        <v>15</v>
      </c>
      <c r="H369" t="s">
        <v>91</v>
      </c>
      <c r="I369">
        <v>20</v>
      </c>
      <c r="J369">
        <v>0</v>
      </c>
      <c r="K369">
        <v>7</v>
      </c>
      <c r="L369" t="s">
        <v>92</v>
      </c>
      <c r="M369">
        <v>24</v>
      </c>
      <c r="N369">
        <v>1</v>
      </c>
      <c r="O369" t="s">
        <v>15</v>
      </c>
      <c r="P369">
        <v>1</v>
      </c>
      <c r="Q369" t="s">
        <v>90</v>
      </c>
      <c r="R369" t="s">
        <v>113</v>
      </c>
    </row>
    <row r="370" spans="1:18">
      <c r="A370">
        <v>1579</v>
      </c>
      <c r="B370" t="s">
        <v>112</v>
      </c>
      <c r="C370">
        <v>9</v>
      </c>
      <c r="D370">
        <v>10</v>
      </c>
      <c r="E370" t="s">
        <v>94</v>
      </c>
      <c r="F370" t="s">
        <v>90</v>
      </c>
      <c r="G370" t="s">
        <v>15</v>
      </c>
      <c r="H370" t="s">
        <v>91</v>
      </c>
      <c r="I370">
        <v>20</v>
      </c>
      <c r="J370">
        <v>0</v>
      </c>
      <c r="K370">
        <v>7</v>
      </c>
      <c r="L370" t="s">
        <v>92</v>
      </c>
      <c r="M370">
        <v>24</v>
      </c>
      <c r="N370">
        <v>1</v>
      </c>
      <c r="O370" t="s">
        <v>15</v>
      </c>
      <c r="P370">
        <v>1</v>
      </c>
      <c r="Q370" t="s">
        <v>90</v>
      </c>
      <c r="R370" t="s">
        <v>113</v>
      </c>
    </row>
    <row r="371" spans="1:18">
      <c r="A371">
        <v>1580</v>
      </c>
      <c r="B371" t="s">
        <v>112</v>
      </c>
      <c r="C371">
        <v>10</v>
      </c>
      <c r="D371">
        <v>9</v>
      </c>
      <c r="E371" t="s">
        <v>89</v>
      </c>
      <c r="F371" t="s">
        <v>90</v>
      </c>
      <c r="G371" t="s">
        <v>15</v>
      </c>
      <c r="H371" t="s">
        <v>91</v>
      </c>
      <c r="I371">
        <v>20</v>
      </c>
      <c r="J371">
        <v>0</v>
      </c>
      <c r="K371">
        <v>7</v>
      </c>
      <c r="L371" t="s">
        <v>92</v>
      </c>
      <c r="M371">
        <v>24</v>
      </c>
      <c r="N371">
        <v>1</v>
      </c>
      <c r="O371" t="s">
        <v>15</v>
      </c>
      <c r="P371">
        <v>1</v>
      </c>
      <c r="Q371" t="s">
        <v>90</v>
      </c>
      <c r="R371" t="s">
        <v>113</v>
      </c>
    </row>
    <row r="372" spans="1:18">
      <c r="A372">
        <v>1581</v>
      </c>
      <c r="B372" t="s">
        <v>112</v>
      </c>
      <c r="C372">
        <v>11</v>
      </c>
      <c r="D372">
        <v>11</v>
      </c>
      <c r="E372" t="s">
        <v>95</v>
      </c>
      <c r="F372" t="s">
        <v>90</v>
      </c>
      <c r="G372" t="s">
        <v>15</v>
      </c>
      <c r="H372" t="s">
        <v>91</v>
      </c>
      <c r="I372">
        <v>20</v>
      </c>
      <c r="J372">
        <v>15</v>
      </c>
      <c r="K372">
        <v>7</v>
      </c>
      <c r="L372" t="s">
        <v>92</v>
      </c>
      <c r="M372">
        <v>24</v>
      </c>
      <c r="N372">
        <v>1</v>
      </c>
      <c r="O372" t="s">
        <v>15</v>
      </c>
      <c r="P372">
        <v>1</v>
      </c>
      <c r="Q372" t="s">
        <v>90</v>
      </c>
      <c r="R372" t="s">
        <v>113</v>
      </c>
    </row>
    <row r="373" spans="1:18">
      <c r="A373">
        <v>1582</v>
      </c>
      <c r="B373" t="s">
        <v>112</v>
      </c>
      <c r="C373">
        <v>12</v>
      </c>
      <c r="D373">
        <v>11</v>
      </c>
      <c r="E373" t="s">
        <v>95</v>
      </c>
      <c r="F373" t="s">
        <v>90</v>
      </c>
      <c r="G373" t="s">
        <v>15</v>
      </c>
      <c r="H373" t="s">
        <v>91</v>
      </c>
      <c r="I373">
        <v>20</v>
      </c>
      <c r="J373">
        <v>0</v>
      </c>
      <c r="K373">
        <v>7</v>
      </c>
      <c r="L373" t="s">
        <v>92</v>
      </c>
      <c r="M373">
        <v>24</v>
      </c>
      <c r="N373">
        <v>1</v>
      </c>
      <c r="O373" t="s">
        <v>15</v>
      </c>
      <c r="P373">
        <v>1</v>
      </c>
      <c r="Q373" t="s">
        <v>90</v>
      </c>
      <c r="R373" t="s">
        <v>113</v>
      </c>
    </row>
    <row r="374" spans="1:18">
      <c r="A374">
        <v>1583</v>
      </c>
      <c r="B374" t="s">
        <v>112</v>
      </c>
      <c r="C374">
        <v>13</v>
      </c>
      <c r="D374">
        <v>11</v>
      </c>
      <c r="E374" t="s">
        <v>95</v>
      </c>
      <c r="F374" t="s">
        <v>90</v>
      </c>
      <c r="G374" t="s">
        <v>15</v>
      </c>
      <c r="H374" t="s">
        <v>91</v>
      </c>
      <c r="I374">
        <v>20</v>
      </c>
      <c r="J374">
        <v>0</v>
      </c>
      <c r="K374">
        <v>7</v>
      </c>
      <c r="L374" t="s">
        <v>92</v>
      </c>
      <c r="M374">
        <v>24</v>
      </c>
      <c r="N374">
        <v>1</v>
      </c>
      <c r="O374" t="s">
        <v>15</v>
      </c>
      <c r="P374">
        <v>1</v>
      </c>
      <c r="Q374" t="s">
        <v>90</v>
      </c>
      <c r="R374" t="s">
        <v>113</v>
      </c>
    </row>
    <row r="375" spans="1:18">
      <c r="A375">
        <v>1584</v>
      </c>
      <c r="B375" t="s">
        <v>112</v>
      </c>
      <c r="C375">
        <v>14</v>
      </c>
      <c r="D375">
        <v>11</v>
      </c>
      <c r="E375" t="s">
        <v>95</v>
      </c>
      <c r="F375" t="s">
        <v>90</v>
      </c>
      <c r="G375" t="s">
        <v>15</v>
      </c>
      <c r="H375" t="s">
        <v>91</v>
      </c>
      <c r="I375">
        <v>20</v>
      </c>
      <c r="J375">
        <v>0</v>
      </c>
      <c r="K375">
        <v>7</v>
      </c>
      <c r="L375" t="s">
        <v>92</v>
      </c>
      <c r="M375">
        <v>24</v>
      </c>
      <c r="N375">
        <v>1</v>
      </c>
      <c r="O375" t="s">
        <v>15</v>
      </c>
      <c r="P375">
        <v>1</v>
      </c>
      <c r="Q375" t="s">
        <v>90</v>
      </c>
      <c r="R375" t="s">
        <v>113</v>
      </c>
    </row>
    <row r="376" spans="1:18">
      <c r="A376">
        <v>1585</v>
      </c>
      <c r="B376" t="s">
        <v>112</v>
      </c>
      <c r="C376">
        <v>15</v>
      </c>
      <c r="D376">
        <v>11</v>
      </c>
      <c r="E376" t="s">
        <v>95</v>
      </c>
      <c r="F376" t="s">
        <v>90</v>
      </c>
      <c r="G376" t="s">
        <v>15</v>
      </c>
      <c r="H376" t="s">
        <v>91</v>
      </c>
      <c r="I376">
        <v>20</v>
      </c>
      <c r="J376">
        <v>0</v>
      </c>
      <c r="K376">
        <v>7</v>
      </c>
      <c r="L376" t="s">
        <v>92</v>
      </c>
      <c r="M376">
        <v>24</v>
      </c>
      <c r="N376">
        <v>1</v>
      </c>
      <c r="O376" t="s">
        <v>15</v>
      </c>
      <c r="P376">
        <v>1</v>
      </c>
      <c r="Q376" t="s">
        <v>90</v>
      </c>
      <c r="R376" t="s">
        <v>113</v>
      </c>
    </row>
    <row r="377" spans="1:18">
      <c r="A377">
        <v>1586</v>
      </c>
      <c r="B377" t="s">
        <v>112</v>
      </c>
      <c r="C377">
        <v>16</v>
      </c>
      <c r="D377">
        <v>11</v>
      </c>
      <c r="E377" t="s">
        <v>95</v>
      </c>
      <c r="F377" t="s">
        <v>90</v>
      </c>
      <c r="G377" t="s">
        <v>15</v>
      </c>
      <c r="H377" t="s">
        <v>91</v>
      </c>
      <c r="I377">
        <v>20</v>
      </c>
      <c r="J377">
        <v>0</v>
      </c>
      <c r="K377">
        <v>7</v>
      </c>
      <c r="L377" t="s">
        <v>92</v>
      </c>
      <c r="M377">
        <v>24</v>
      </c>
      <c r="N377">
        <v>1</v>
      </c>
      <c r="O377" t="s">
        <v>15</v>
      </c>
      <c r="P377">
        <v>1</v>
      </c>
      <c r="Q377" t="s">
        <v>90</v>
      </c>
      <c r="R377" t="s">
        <v>113</v>
      </c>
    </row>
    <row r="378" spans="1:18">
      <c r="A378">
        <v>1587</v>
      </c>
      <c r="B378" t="s">
        <v>112</v>
      </c>
      <c r="C378">
        <v>17</v>
      </c>
      <c r="D378">
        <v>11</v>
      </c>
      <c r="E378" t="s">
        <v>95</v>
      </c>
      <c r="F378" t="s">
        <v>90</v>
      </c>
      <c r="G378" t="s">
        <v>15</v>
      </c>
      <c r="H378" t="s">
        <v>91</v>
      </c>
      <c r="I378">
        <v>20</v>
      </c>
      <c r="J378">
        <v>0</v>
      </c>
      <c r="K378">
        <v>7</v>
      </c>
      <c r="L378" t="s">
        <v>92</v>
      </c>
      <c r="M378">
        <v>24</v>
      </c>
      <c r="N378">
        <v>1</v>
      </c>
      <c r="O378" t="s">
        <v>15</v>
      </c>
      <c r="P378">
        <v>1</v>
      </c>
      <c r="Q378" t="s">
        <v>90</v>
      </c>
      <c r="R378" t="s">
        <v>113</v>
      </c>
    </row>
    <row r="379" spans="1:18">
      <c r="A379">
        <v>1588</v>
      </c>
      <c r="B379" t="s">
        <v>112</v>
      </c>
      <c r="C379">
        <v>18</v>
      </c>
      <c r="D379">
        <v>11</v>
      </c>
      <c r="E379" t="s">
        <v>95</v>
      </c>
      <c r="F379" t="s">
        <v>90</v>
      </c>
      <c r="G379" t="s">
        <v>15</v>
      </c>
      <c r="H379" t="s">
        <v>91</v>
      </c>
      <c r="I379">
        <v>20</v>
      </c>
      <c r="J379">
        <v>0</v>
      </c>
      <c r="K379">
        <v>7</v>
      </c>
      <c r="L379" t="s">
        <v>92</v>
      </c>
      <c r="M379">
        <v>24</v>
      </c>
      <c r="N379">
        <v>1</v>
      </c>
      <c r="O379" t="s">
        <v>15</v>
      </c>
      <c r="P379">
        <v>1</v>
      </c>
      <c r="Q379" t="s">
        <v>90</v>
      </c>
      <c r="R379" t="s">
        <v>113</v>
      </c>
    </row>
    <row r="380" spans="1:18">
      <c r="A380">
        <v>1589</v>
      </c>
      <c r="B380" t="s">
        <v>112</v>
      </c>
      <c r="C380">
        <v>19</v>
      </c>
      <c r="D380">
        <v>11</v>
      </c>
      <c r="E380" t="s">
        <v>95</v>
      </c>
      <c r="F380" t="s">
        <v>90</v>
      </c>
      <c r="G380" t="s">
        <v>15</v>
      </c>
      <c r="H380" t="s">
        <v>91</v>
      </c>
      <c r="I380">
        <v>20</v>
      </c>
      <c r="J380">
        <v>0</v>
      </c>
      <c r="K380">
        <v>7</v>
      </c>
      <c r="L380" t="s">
        <v>92</v>
      </c>
      <c r="M380">
        <v>24</v>
      </c>
      <c r="N380">
        <v>1</v>
      </c>
      <c r="O380" t="s">
        <v>15</v>
      </c>
      <c r="P380">
        <v>1</v>
      </c>
      <c r="Q380" t="s">
        <v>90</v>
      </c>
      <c r="R380" t="s">
        <v>113</v>
      </c>
    </row>
    <row r="381" spans="1:18">
      <c r="A381">
        <v>1590</v>
      </c>
      <c r="B381" t="s">
        <v>112</v>
      </c>
      <c r="C381">
        <v>20</v>
      </c>
      <c r="D381">
        <v>11</v>
      </c>
      <c r="E381" t="s">
        <v>95</v>
      </c>
      <c r="F381" t="s">
        <v>90</v>
      </c>
      <c r="G381" t="s">
        <v>15</v>
      </c>
      <c r="H381" t="s">
        <v>91</v>
      </c>
      <c r="I381">
        <v>20</v>
      </c>
      <c r="J381">
        <v>0</v>
      </c>
      <c r="K381">
        <v>7</v>
      </c>
      <c r="L381" t="s">
        <v>92</v>
      </c>
      <c r="M381">
        <v>24</v>
      </c>
      <c r="N381">
        <v>1</v>
      </c>
      <c r="O381" t="s">
        <v>15</v>
      </c>
      <c r="P381">
        <v>1</v>
      </c>
      <c r="Q381" t="s">
        <v>90</v>
      </c>
      <c r="R381" t="s">
        <v>113</v>
      </c>
    </row>
    <row r="382" spans="1:18">
      <c r="A382">
        <v>1591</v>
      </c>
      <c r="B382" t="s">
        <v>112</v>
      </c>
      <c r="C382">
        <v>21</v>
      </c>
      <c r="D382">
        <v>9</v>
      </c>
      <c r="E382" t="s">
        <v>89</v>
      </c>
      <c r="F382" t="s">
        <v>90</v>
      </c>
      <c r="G382" t="s">
        <v>15</v>
      </c>
      <c r="H382" t="s">
        <v>91</v>
      </c>
      <c r="I382">
        <v>20</v>
      </c>
      <c r="J382">
        <v>0</v>
      </c>
      <c r="K382">
        <v>7</v>
      </c>
      <c r="L382" t="s">
        <v>92</v>
      </c>
      <c r="M382">
        <v>24</v>
      </c>
      <c r="N382">
        <v>1</v>
      </c>
      <c r="O382" t="s">
        <v>15</v>
      </c>
      <c r="P382">
        <v>1</v>
      </c>
      <c r="Q382" t="s">
        <v>90</v>
      </c>
      <c r="R382" t="s">
        <v>113</v>
      </c>
    </row>
    <row r="383" spans="1:18">
      <c r="A383">
        <v>1592</v>
      </c>
      <c r="B383" t="s">
        <v>112</v>
      </c>
      <c r="C383">
        <v>22</v>
      </c>
      <c r="D383">
        <v>10</v>
      </c>
      <c r="E383" t="s">
        <v>94</v>
      </c>
      <c r="F383" t="s">
        <v>90</v>
      </c>
      <c r="G383" t="s">
        <v>15</v>
      </c>
      <c r="H383" t="s">
        <v>91</v>
      </c>
      <c r="I383">
        <v>20</v>
      </c>
      <c r="J383">
        <v>0</v>
      </c>
      <c r="K383">
        <v>7</v>
      </c>
      <c r="L383" t="s">
        <v>92</v>
      </c>
      <c r="M383">
        <v>24</v>
      </c>
      <c r="N383">
        <v>1</v>
      </c>
      <c r="O383" t="s">
        <v>15</v>
      </c>
      <c r="P383">
        <v>1</v>
      </c>
      <c r="Q383" t="s">
        <v>90</v>
      </c>
      <c r="R383" t="s">
        <v>113</v>
      </c>
    </row>
    <row r="384" spans="1:18">
      <c r="A384">
        <v>1593</v>
      </c>
      <c r="B384" t="s">
        <v>112</v>
      </c>
      <c r="C384">
        <v>23</v>
      </c>
      <c r="D384">
        <v>9</v>
      </c>
      <c r="E384" t="s">
        <v>89</v>
      </c>
      <c r="F384" t="s">
        <v>90</v>
      </c>
      <c r="G384" t="s">
        <v>15</v>
      </c>
      <c r="H384" t="s">
        <v>91</v>
      </c>
      <c r="I384">
        <v>20</v>
      </c>
      <c r="J384">
        <v>0</v>
      </c>
      <c r="K384">
        <v>7</v>
      </c>
      <c r="L384" t="s">
        <v>92</v>
      </c>
      <c r="M384">
        <v>24</v>
      </c>
      <c r="N384">
        <v>1</v>
      </c>
      <c r="O384" t="s">
        <v>15</v>
      </c>
      <c r="P384">
        <v>1</v>
      </c>
      <c r="Q384" t="s">
        <v>90</v>
      </c>
      <c r="R384" t="s">
        <v>113</v>
      </c>
    </row>
    <row r="385" spans="1:18">
      <c r="A385">
        <v>1594</v>
      </c>
      <c r="B385" t="s">
        <v>112</v>
      </c>
      <c r="C385">
        <v>24</v>
      </c>
      <c r="D385">
        <v>10</v>
      </c>
      <c r="E385" t="s">
        <v>94</v>
      </c>
      <c r="F385" t="s">
        <v>90</v>
      </c>
      <c r="G385" t="s">
        <v>15</v>
      </c>
      <c r="H385" t="s">
        <v>91</v>
      </c>
      <c r="I385">
        <v>20</v>
      </c>
      <c r="J385">
        <v>0</v>
      </c>
      <c r="K385">
        <v>7</v>
      </c>
      <c r="L385" t="s">
        <v>92</v>
      </c>
      <c r="M385">
        <v>24</v>
      </c>
      <c r="N385">
        <v>1</v>
      </c>
      <c r="O385" t="s">
        <v>15</v>
      </c>
      <c r="P385">
        <v>1</v>
      </c>
      <c r="Q385" t="s">
        <v>90</v>
      </c>
      <c r="R385" t="s">
        <v>113</v>
      </c>
    </row>
    <row r="386" spans="1:18">
      <c r="A386">
        <v>1595</v>
      </c>
      <c r="B386" t="s">
        <v>112</v>
      </c>
      <c r="C386">
        <v>25</v>
      </c>
      <c r="D386">
        <v>9</v>
      </c>
      <c r="E386" t="s">
        <v>89</v>
      </c>
      <c r="F386" t="s">
        <v>90</v>
      </c>
      <c r="G386" t="s">
        <v>15</v>
      </c>
      <c r="H386" t="s">
        <v>91</v>
      </c>
      <c r="I386">
        <v>20</v>
      </c>
      <c r="J386">
        <v>0</v>
      </c>
      <c r="K386">
        <v>7</v>
      </c>
      <c r="L386" t="s">
        <v>92</v>
      </c>
      <c r="M386">
        <v>24</v>
      </c>
      <c r="N386">
        <v>1</v>
      </c>
      <c r="O386" t="s">
        <v>15</v>
      </c>
      <c r="P386">
        <v>1</v>
      </c>
      <c r="Q386" t="s">
        <v>90</v>
      </c>
      <c r="R386" t="s">
        <v>113</v>
      </c>
    </row>
    <row r="387" spans="1:18">
      <c r="A387">
        <v>1596</v>
      </c>
      <c r="B387" t="s">
        <v>112</v>
      </c>
      <c r="C387">
        <v>26</v>
      </c>
      <c r="D387">
        <v>10</v>
      </c>
      <c r="E387" t="s">
        <v>94</v>
      </c>
      <c r="F387" t="s">
        <v>90</v>
      </c>
      <c r="G387" t="s">
        <v>15</v>
      </c>
      <c r="H387" t="s">
        <v>91</v>
      </c>
      <c r="I387">
        <v>20</v>
      </c>
      <c r="J387">
        <v>0</v>
      </c>
      <c r="K387">
        <v>7</v>
      </c>
      <c r="L387" t="s">
        <v>92</v>
      </c>
      <c r="M387">
        <v>24</v>
      </c>
      <c r="N387">
        <v>1</v>
      </c>
      <c r="O387" t="s">
        <v>15</v>
      </c>
      <c r="P387">
        <v>1</v>
      </c>
      <c r="Q387" t="s">
        <v>90</v>
      </c>
      <c r="R387" t="s">
        <v>113</v>
      </c>
    </row>
    <row r="388" spans="1:18">
      <c r="A388">
        <v>1597</v>
      </c>
      <c r="B388" t="s">
        <v>112</v>
      </c>
      <c r="C388">
        <v>27</v>
      </c>
      <c r="D388">
        <v>9</v>
      </c>
      <c r="E388" t="s">
        <v>89</v>
      </c>
      <c r="F388" t="s">
        <v>90</v>
      </c>
      <c r="G388" t="s">
        <v>15</v>
      </c>
      <c r="H388" t="s">
        <v>91</v>
      </c>
      <c r="I388">
        <v>20</v>
      </c>
      <c r="J388">
        <v>0</v>
      </c>
      <c r="K388">
        <v>7</v>
      </c>
      <c r="L388" t="s">
        <v>92</v>
      </c>
      <c r="M388">
        <v>24</v>
      </c>
      <c r="N388">
        <v>1</v>
      </c>
      <c r="O388" t="s">
        <v>15</v>
      </c>
      <c r="P388">
        <v>1</v>
      </c>
      <c r="Q388" t="s">
        <v>90</v>
      </c>
      <c r="R388" t="s">
        <v>113</v>
      </c>
    </row>
    <row r="389" spans="1:18">
      <c r="A389">
        <v>1598</v>
      </c>
      <c r="B389" t="s">
        <v>112</v>
      </c>
      <c r="C389">
        <v>28</v>
      </c>
      <c r="D389">
        <v>10</v>
      </c>
      <c r="E389" t="s">
        <v>94</v>
      </c>
      <c r="F389" t="s">
        <v>90</v>
      </c>
      <c r="G389" t="s">
        <v>15</v>
      </c>
      <c r="H389" t="s">
        <v>91</v>
      </c>
      <c r="I389">
        <v>20</v>
      </c>
      <c r="J389">
        <v>0</v>
      </c>
      <c r="K389">
        <v>7</v>
      </c>
      <c r="L389" t="s">
        <v>92</v>
      </c>
      <c r="M389">
        <v>24</v>
      </c>
      <c r="N389">
        <v>1</v>
      </c>
      <c r="O389" t="s">
        <v>15</v>
      </c>
      <c r="P389">
        <v>1</v>
      </c>
      <c r="Q389" t="s">
        <v>90</v>
      </c>
      <c r="R389" t="s">
        <v>113</v>
      </c>
    </row>
    <row r="390" spans="1:18">
      <c r="A390">
        <v>1599</v>
      </c>
      <c r="B390" t="s">
        <v>112</v>
      </c>
      <c r="C390">
        <v>29</v>
      </c>
      <c r="D390">
        <v>9</v>
      </c>
      <c r="E390" t="s">
        <v>89</v>
      </c>
      <c r="F390" t="s">
        <v>90</v>
      </c>
      <c r="G390" t="s">
        <v>15</v>
      </c>
      <c r="H390" t="s">
        <v>91</v>
      </c>
      <c r="I390">
        <v>20</v>
      </c>
      <c r="J390">
        <v>0</v>
      </c>
      <c r="K390">
        <v>7</v>
      </c>
      <c r="L390" t="s">
        <v>92</v>
      </c>
      <c r="M390">
        <v>24</v>
      </c>
      <c r="N390">
        <v>1</v>
      </c>
      <c r="O390" t="s">
        <v>15</v>
      </c>
      <c r="P390">
        <v>1</v>
      </c>
      <c r="Q390" t="s">
        <v>90</v>
      </c>
      <c r="R390" t="s">
        <v>113</v>
      </c>
    </row>
    <row r="391" spans="1:18">
      <c r="A391">
        <v>1600</v>
      </c>
      <c r="B391" t="s">
        <v>112</v>
      </c>
      <c r="C391">
        <v>30</v>
      </c>
      <c r="D391">
        <v>10</v>
      </c>
      <c r="E391" t="s">
        <v>94</v>
      </c>
      <c r="F391" t="s">
        <v>90</v>
      </c>
      <c r="G391" t="s">
        <v>15</v>
      </c>
      <c r="H391" t="s">
        <v>91</v>
      </c>
      <c r="I391">
        <v>20</v>
      </c>
      <c r="J391">
        <v>0</v>
      </c>
      <c r="K391">
        <v>7</v>
      </c>
      <c r="L391" t="s">
        <v>92</v>
      </c>
      <c r="M391">
        <v>24</v>
      </c>
      <c r="N391">
        <v>1</v>
      </c>
      <c r="O391" t="s">
        <v>15</v>
      </c>
      <c r="P391">
        <v>1</v>
      </c>
      <c r="Q391" t="s">
        <v>90</v>
      </c>
      <c r="R391" t="s">
        <v>113</v>
      </c>
    </row>
    <row r="392" spans="1:18">
      <c r="A392">
        <v>1601</v>
      </c>
      <c r="B392" t="s">
        <v>112</v>
      </c>
      <c r="C392">
        <v>31</v>
      </c>
      <c r="D392">
        <v>12</v>
      </c>
      <c r="E392" t="s">
        <v>96</v>
      </c>
      <c r="F392" t="s">
        <v>90</v>
      </c>
      <c r="G392" t="s">
        <v>15</v>
      </c>
      <c r="H392" t="s">
        <v>91</v>
      </c>
      <c r="I392">
        <v>20</v>
      </c>
      <c r="J392">
        <v>0</v>
      </c>
      <c r="K392">
        <v>7</v>
      </c>
      <c r="L392" t="s">
        <v>92</v>
      </c>
      <c r="M392">
        <v>24</v>
      </c>
      <c r="N392">
        <v>1</v>
      </c>
      <c r="O392" t="s">
        <v>15</v>
      </c>
      <c r="P392">
        <v>1</v>
      </c>
      <c r="Q392" t="s">
        <v>90</v>
      </c>
      <c r="R392" t="s">
        <v>113</v>
      </c>
    </row>
    <row r="393" spans="1:18">
      <c r="A393">
        <v>1602</v>
      </c>
      <c r="B393" t="s">
        <v>112</v>
      </c>
      <c r="C393">
        <v>32</v>
      </c>
      <c r="D393">
        <v>12</v>
      </c>
      <c r="E393" t="s">
        <v>96</v>
      </c>
      <c r="F393" t="s">
        <v>90</v>
      </c>
      <c r="G393" t="s">
        <v>15</v>
      </c>
      <c r="H393" t="s">
        <v>91</v>
      </c>
      <c r="I393">
        <v>20</v>
      </c>
      <c r="J393">
        <v>0</v>
      </c>
      <c r="K393">
        <v>7</v>
      </c>
      <c r="L393" t="s">
        <v>92</v>
      </c>
      <c r="M393">
        <v>24</v>
      </c>
      <c r="N393">
        <v>1</v>
      </c>
      <c r="O393" t="s">
        <v>15</v>
      </c>
      <c r="P393">
        <v>1</v>
      </c>
      <c r="Q393" t="s">
        <v>90</v>
      </c>
      <c r="R393" t="s">
        <v>113</v>
      </c>
    </row>
    <row r="394" spans="1:18">
      <c r="A394">
        <v>1603</v>
      </c>
      <c r="B394" t="s">
        <v>112</v>
      </c>
      <c r="C394">
        <v>33</v>
      </c>
      <c r="D394">
        <v>12</v>
      </c>
      <c r="E394" t="s">
        <v>96</v>
      </c>
      <c r="F394" t="s">
        <v>90</v>
      </c>
      <c r="G394" t="s">
        <v>15</v>
      </c>
      <c r="H394" t="s">
        <v>91</v>
      </c>
      <c r="I394">
        <v>20</v>
      </c>
      <c r="J394">
        <v>0</v>
      </c>
      <c r="K394">
        <v>7</v>
      </c>
      <c r="L394" t="s">
        <v>92</v>
      </c>
      <c r="M394">
        <v>24</v>
      </c>
      <c r="N394">
        <v>1</v>
      </c>
      <c r="O394" t="s">
        <v>15</v>
      </c>
      <c r="P394">
        <v>1</v>
      </c>
      <c r="Q394" t="s">
        <v>90</v>
      </c>
      <c r="R394" t="s">
        <v>113</v>
      </c>
    </row>
    <row r="395" spans="1:18">
      <c r="A395">
        <v>1604</v>
      </c>
      <c r="B395" t="s">
        <v>112</v>
      </c>
      <c r="C395">
        <v>34</v>
      </c>
      <c r="D395">
        <v>12</v>
      </c>
      <c r="E395" t="s">
        <v>96</v>
      </c>
      <c r="F395" t="s">
        <v>90</v>
      </c>
      <c r="G395" t="s">
        <v>15</v>
      </c>
      <c r="H395" t="s">
        <v>91</v>
      </c>
      <c r="I395">
        <v>20</v>
      </c>
      <c r="J395">
        <v>0</v>
      </c>
      <c r="K395">
        <v>7</v>
      </c>
      <c r="L395" t="s">
        <v>92</v>
      </c>
      <c r="M395">
        <v>24</v>
      </c>
      <c r="N395">
        <v>1</v>
      </c>
      <c r="O395" t="s">
        <v>15</v>
      </c>
      <c r="P395">
        <v>1</v>
      </c>
      <c r="Q395" t="s">
        <v>90</v>
      </c>
      <c r="R395" t="s">
        <v>113</v>
      </c>
    </row>
    <row r="396" spans="1:18">
      <c r="A396">
        <v>1605</v>
      </c>
      <c r="B396" t="s">
        <v>112</v>
      </c>
      <c r="C396">
        <v>35</v>
      </c>
      <c r="D396">
        <v>12</v>
      </c>
      <c r="E396" t="s">
        <v>96</v>
      </c>
      <c r="F396" t="s">
        <v>90</v>
      </c>
      <c r="G396" t="s">
        <v>15</v>
      </c>
      <c r="H396" t="s">
        <v>91</v>
      </c>
      <c r="I396">
        <v>20</v>
      </c>
      <c r="J396">
        <v>0</v>
      </c>
      <c r="K396">
        <v>7</v>
      </c>
      <c r="L396" t="s">
        <v>92</v>
      </c>
      <c r="M396">
        <v>24</v>
      </c>
      <c r="N396">
        <v>1</v>
      </c>
      <c r="O396" t="s">
        <v>15</v>
      </c>
      <c r="P396">
        <v>1</v>
      </c>
      <c r="Q396" t="s">
        <v>90</v>
      </c>
      <c r="R396" t="s">
        <v>113</v>
      </c>
    </row>
    <row r="397" spans="1:18">
      <c r="A397">
        <v>1606</v>
      </c>
      <c r="B397" t="s">
        <v>112</v>
      </c>
      <c r="C397">
        <v>36</v>
      </c>
      <c r="D397">
        <v>12</v>
      </c>
      <c r="E397" t="s">
        <v>96</v>
      </c>
      <c r="F397" t="s">
        <v>90</v>
      </c>
      <c r="G397" t="s">
        <v>15</v>
      </c>
      <c r="H397" t="s">
        <v>91</v>
      </c>
      <c r="I397">
        <v>20</v>
      </c>
      <c r="J397">
        <v>0</v>
      </c>
      <c r="K397">
        <v>7</v>
      </c>
      <c r="L397" t="s">
        <v>92</v>
      </c>
      <c r="M397">
        <v>24</v>
      </c>
      <c r="N397">
        <v>1</v>
      </c>
      <c r="O397" t="s">
        <v>15</v>
      </c>
      <c r="P397">
        <v>1</v>
      </c>
      <c r="Q397" t="s">
        <v>90</v>
      </c>
      <c r="R397" t="s">
        <v>113</v>
      </c>
    </row>
    <row r="398" spans="1:18">
      <c r="A398">
        <v>1607</v>
      </c>
      <c r="B398" t="s">
        <v>112</v>
      </c>
      <c r="C398">
        <v>37</v>
      </c>
      <c r="D398">
        <v>12</v>
      </c>
      <c r="E398" t="s">
        <v>96</v>
      </c>
      <c r="F398" t="s">
        <v>90</v>
      </c>
      <c r="G398" t="s">
        <v>15</v>
      </c>
      <c r="H398" t="s">
        <v>91</v>
      </c>
      <c r="I398">
        <v>20</v>
      </c>
      <c r="J398">
        <v>0</v>
      </c>
      <c r="K398">
        <v>7</v>
      </c>
      <c r="L398" t="s">
        <v>92</v>
      </c>
      <c r="M398">
        <v>24</v>
      </c>
      <c r="N398">
        <v>1</v>
      </c>
      <c r="O398" t="s">
        <v>15</v>
      </c>
      <c r="P398">
        <v>1</v>
      </c>
      <c r="Q398" t="s">
        <v>90</v>
      </c>
      <c r="R398" t="s">
        <v>113</v>
      </c>
    </row>
    <row r="399" spans="1:18">
      <c r="A399">
        <v>1608</v>
      </c>
      <c r="B399" t="s">
        <v>112</v>
      </c>
      <c r="C399">
        <v>38</v>
      </c>
      <c r="D399">
        <v>12</v>
      </c>
      <c r="E399" t="s">
        <v>96</v>
      </c>
      <c r="F399" t="s">
        <v>90</v>
      </c>
      <c r="G399" t="s">
        <v>15</v>
      </c>
      <c r="H399" t="s">
        <v>91</v>
      </c>
      <c r="I399">
        <v>20</v>
      </c>
      <c r="J399">
        <v>0</v>
      </c>
      <c r="K399">
        <v>7</v>
      </c>
      <c r="L399" t="s">
        <v>92</v>
      </c>
      <c r="M399">
        <v>24</v>
      </c>
      <c r="N399">
        <v>1</v>
      </c>
      <c r="O399" t="s">
        <v>15</v>
      </c>
      <c r="P399">
        <v>1</v>
      </c>
      <c r="Q399" t="s">
        <v>90</v>
      </c>
      <c r="R399" t="s">
        <v>113</v>
      </c>
    </row>
    <row r="400" spans="1:18">
      <c r="A400">
        <v>1609</v>
      </c>
      <c r="B400" t="s">
        <v>112</v>
      </c>
      <c r="C400">
        <v>39</v>
      </c>
      <c r="D400">
        <v>12</v>
      </c>
      <c r="E400" t="s">
        <v>96</v>
      </c>
      <c r="F400" t="s">
        <v>90</v>
      </c>
      <c r="G400" t="s">
        <v>15</v>
      </c>
      <c r="H400" t="s">
        <v>91</v>
      </c>
      <c r="I400">
        <v>20</v>
      </c>
      <c r="J400">
        <v>0</v>
      </c>
      <c r="K400">
        <v>7</v>
      </c>
      <c r="L400" t="s">
        <v>92</v>
      </c>
      <c r="M400">
        <v>24</v>
      </c>
      <c r="N400">
        <v>1</v>
      </c>
      <c r="O400" t="s">
        <v>15</v>
      </c>
      <c r="P400">
        <v>1</v>
      </c>
      <c r="Q400" t="s">
        <v>90</v>
      </c>
      <c r="R400" t="s">
        <v>113</v>
      </c>
    </row>
    <row r="401" spans="1:18">
      <c r="A401">
        <v>1610</v>
      </c>
      <c r="B401" t="s">
        <v>112</v>
      </c>
      <c r="C401">
        <v>40</v>
      </c>
      <c r="D401">
        <v>12</v>
      </c>
      <c r="E401" t="s">
        <v>96</v>
      </c>
      <c r="F401" t="s">
        <v>90</v>
      </c>
      <c r="G401" t="s">
        <v>15</v>
      </c>
      <c r="H401" t="s">
        <v>91</v>
      </c>
      <c r="I401">
        <v>20</v>
      </c>
      <c r="J401">
        <v>0</v>
      </c>
      <c r="K401">
        <v>7</v>
      </c>
      <c r="L401" t="s">
        <v>92</v>
      </c>
      <c r="M401">
        <v>24</v>
      </c>
      <c r="N401">
        <v>1</v>
      </c>
      <c r="O401" t="s">
        <v>15</v>
      </c>
      <c r="P401">
        <v>1</v>
      </c>
      <c r="Q401" t="s">
        <v>90</v>
      </c>
      <c r="R401" t="s">
        <v>113</v>
      </c>
    </row>
    <row r="402" spans="1:18">
      <c r="A402">
        <v>1611</v>
      </c>
      <c r="B402" t="s">
        <v>114</v>
      </c>
      <c r="C402">
        <v>1</v>
      </c>
      <c r="D402">
        <v>9</v>
      </c>
      <c r="E402" t="s">
        <v>89</v>
      </c>
      <c r="F402" t="s">
        <v>90</v>
      </c>
      <c r="G402" t="s">
        <v>15</v>
      </c>
      <c r="H402" t="s">
        <v>91</v>
      </c>
      <c r="I402">
        <v>20</v>
      </c>
      <c r="J402">
        <v>14</v>
      </c>
      <c r="K402">
        <v>7</v>
      </c>
      <c r="L402" t="s">
        <v>92</v>
      </c>
      <c r="M402">
        <v>26</v>
      </c>
      <c r="N402">
        <v>1</v>
      </c>
      <c r="O402" t="s">
        <v>15</v>
      </c>
      <c r="P402">
        <v>1</v>
      </c>
      <c r="Q402" t="s">
        <v>90</v>
      </c>
      <c r="R402" t="s">
        <v>115</v>
      </c>
    </row>
    <row r="403" spans="1:18">
      <c r="A403">
        <v>1612</v>
      </c>
      <c r="B403" t="s">
        <v>114</v>
      </c>
      <c r="C403">
        <v>2</v>
      </c>
      <c r="D403">
        <v>10</v>
      </c>
      <c r="E403" t="s">
        <v>94</v>
      </c>
      <c r="F403" t="s">
        <v>90</v>
      </c>
      <c r="G403" t="s">
        <v>15</v>
      </c>
      <c r="H403" t="s">
        <v>91</v>
      </c>
      <c r="I403">
        <v>20</v>
      </c>
      <c r="J403">
        <v>15</v>
      </c>
      <c r="K403">
        <v>7</v>
      </c>
      <c r="L403" t="s">
        <v>92</v>
      </c>
      <c r="M403">
        <v>26</v>
      </c>
      <c r="N403">
        <v>1</v>
      </c>
      <c r="O403" t="s">
        <v>15</v>
      </c>
      <c r="P403">
        <v>1</v>
      </c>
      <c r="Q403" t="s">
        <v>90</v>
      </c>
      <c r="R403" t="s">
        <v>115</v>
      </c>
    </row>
    <row r="404" spans="1:18">
      <c r="A404">
        <v>1613</v>
      </c>
      <c r="B404" t="s">
        <v>114</v>
      </c>
      <c r="C404">
        <v>3</v>
      </c>
      <c r="D404">
        <v>9</v>
      </c>
      <c r="E404" t="s">
        <v>89</v>
      </c>
      <c r="F404" t="s">
        <v>90</v>
      </c>
      <c r="G404" t="s">
        <v>15</v>
      </c>
      <c r="H404" t="s">
        <v>91</v>
      </c>
      <c r="I404">
        <v>20</v>
      </c>
      <c r="J404">
        <v>0</v>
      </c>
      <c r="K404">
        <v>7</v>
      </c>
      <c r="L404" t="s">
        <v>92</v>
      </c>
      <c r="M404">
        <v>26</v>
      </c>
      <c r="N404">
        <v>1</v>
      </c>
      <c r="O404" t="s">
        <v>15</v>
      </c>
      <c r="P404">
        <v>1</v>
      </c>
      <c r="Q404" t="s">
        <v>90</v>
      </c>
      <c r="R404" t="s">
        <v>115</v>
      </c>
    </row>
    <row r="405" spans="1:18">
      <c r="A405">
        <v>1614</v>
      </c>
      <c r="B405" t="s">
        <v>114</v>
      </c>
      <c r="C405">
        <v>4</v>
      </c>
      <c r="D405">
        <v>9</v>
      </c>
      <c r="E405" t="s">
        <v>89</v>
      </c>
      <c r="F405" t="s">
        <v>90</v>
      </c>
      <c r="G405" t="s">
        <v>15</v>
      </c>
      <c r="H405" t="s">
        <v>91</v>
      </c>
      <c r="I405">
        <v>20</v>
      </c>
      <c r="J405">
        <v>0</v>
      </c>
      <c r="K405">
        <v>7</v>
      </c>
      <c r="L405" t="s">
        <v>92</v>
      </c>
      <c r="M405">
        <v>26</v>
      </c>
      <c r="N405">
        <v>1</v>
      </c>
      <c r="O405" t="s">
        <v>15</v>
      </c>
      <c r="P405">
        <v>1</v>
      </c>
      <c r="Q405" t="s">
        <v>90</v>
      </c>
      <c r="R405" t="s">
        <v>115</v>
      </c>
    </row>
    <row r="406" spans="1:18">
      <c r="A406">
        <v>1615</v>
      </c>
      <c r="B406" t="s">
        <v>114</v>
      </c>
      <c r="C406">
        <v>5</v>
      </c>
      <c r="D406">
        <v>9</v>
      </c>
      <c r="E406" t="s">
        <v>89</v>
      </c>
      <c r="F406" t="s">
        <v>90</v>
      </c>
      <c r="G406" t="s">
        <v>15</v>
      </c>
      <c r="H406" t="s">
        <v>91</v>
      </c>
      <c r="I406">
        <v>20</v>
      </c>
      <c r="J406">
        <v>0</v>
      </c>
      <c r="K406">
        <v>7</v>
      </c>
      <c r="L406" t="s">
        <v>92</v>
      </c>
      <c r="M406">
        <v>26</v>
      </c>
      <c r="N406">
        <v>1</v>
      </c>
      <c r="O406" t="s">
        <v>15</v>
      </c>
      <c r="P406">
        <v>1</v>
      </c>
      <c r="Q406" t="s">
        <v>90</v>
      </c>
      <c r="R406" t="s">
        <v>115</v>
      </c>
    </row>
    <row r="407" spans="1:18">
      <c r="A407">
        <v>1616</v>
      </c>
      <c r="B407" t="s">
        <v>114</v>
      </c>
      <c r="C407">
        <v>6</v>
      </c>
      <c r="D407">
        <v>10</v>
      </c>
      <c r="E407" t="s">
        <v>94</v>
      </c>
      <c r="F407" t="s">
        <v>90</v>
      </c>
      <c r="G407" t="s">
        <v>15</v>
      </c>
      <c r="H407" t="s">
        <v>91</v>
      </c>
      <c r="I407">
        <v>20</v>
      </c>
      <c r="J407">
        <v>0</v>
      </c>
      <c r="K407">
        <v>7</v>
      </c>
      <c r="L407" t="s">
        <v>92</v>
      </c>
      <c r="M407">
        <v>26</v>
      </c>
      <c r="N407">
        <v>1</v>
      </c>
      <c r="O407" t="s">
        <v>15</v>
      </c>
      <c r="P407">
        <v>1</v>
      </c>
      <c r="Q407" t="s">
        <v>90</v>
      </c>
      <c r="R407" t="s">
        <v>115</v>
      </c>
    </row>
    <row r="408" spans="1:18">
      <c r="A408">
        <v>1617</v>
      </c>
      <c r="B408" t="s">
        <v>114</v>
      </c>
      <c r="C408">
        <v>7</v>
      </c>
      <c r="D408">
        <v>10</v>
      </c>
      <c r="E408" t="s">
        <v>94</v>
      </c>
      <c r="F408" t="s">
        <v>90</v>
      </c>
      <c r="G408" t="s">
        <v>15</v>
      </c>
      <c r="H408" t="s">
        <v>91</v>
      </c>
      <c r="I408">
        <v>20</v>
      </c>
      <c r="J408">
        <v>0</v>
      </c>
      <c r="K408">
        <v>7</v>
      </c>
      <c r="L408" t="s">
        <v>92</v>
      </c>
      <c r="M408">
        <v>26</v>
      </c>
      <c r="N408">
        <v>1</v>
      </c>
      <c r="O408" t="s">
        <v>15</v>
      </c>
      <c r="P408">
        <v>1</v>
      </c>
      <c r="Q408" t="s">
        <v>90</v>
      </c>
      <c r="R408" t="s">
        <v>115</v>
      </c>
    </row>
    <row r="409" spans="1:18">
      <c r="A409">
        <v>1618</v>
      </c>
      <c r="B409" t="s">
        <v>114</v>
      </c>
      <c r="C409">
        <v>8</v>
      </c>
      <c r="D409">
        <v>10</v>
      </c>
      <c r="E409" t="s">
        <v>94</v>
      </c>
      <c r="F409" t="s">
        <v>90</v>
      </c>
      <c r="G409" t="s">
        <v>15</v>
      </c>
      <c r="H409" t="s">
        <v>91</v>
      </c>
      <c r="I409">
        <v>20</v>
      </c>
      <c r="J409">
        <v>0</v>
      </c>
      <c r="K409">
        <v>7</v>
      </c>
      <c r="L409" t="s">
        <v>92</v>
      </c>
      <c r="M409">
        <v>26</v>
      </c>
      <c r="N409">
        <v>1</v>
      </c>
      <c r="O409" t="s">
        <v>15</v>
      </c>
      <c r="P409">
        <v>1</v>
      </c>
      <c r="Q409" t="s">
        <v>90</v>
      </c>
      <c r="R409" t="s">
        <v>115</v>
      </c>
    </row>
    <row r="410" spans="1:18">
      <c r="A410">
        <v>1619</v>
      </c>
      <c r="B410" t="s">
        <v>114</v>
      </c>
      <c r="C410">
        <v>9</v>
      </c>
      <c r="D410">
        <v>10</v>
      </c>
      <c r="E410" t="s">
        <v>94</v>
      </c>
      <c r="F410" t="s">
        <v>90</v>
      </c>
      <c r="G410" t="s">
        <v>15</v>
      </c>
      <c r="H410" t="s">
        <v>91</v>
      </c>
      <c r="I410">
        <v>20</v>
      </c>
      <c r="J410">
        <v>0</v>
      </c>
      <c r="K410">
        <v>7</v>
      </c>
      <c r="L410" t="s">
        <v>92</v>
      </c>
      <c r="M410">
        <v>26</v>
      </c>
      <c r="N410">
        <v>1</v>
      </c>
      <c r="O410" t="s">
        <v>15</v>
      </c>
      <c r="P410">
        <v>1</v>
      </c>
      <c r="Q410" t="s">
        <v>90</v>
      </c>
      <c r="R410" t="s">
        <v>115</v>
      </c>
    </row>
    <row r="411" spans="1:18">
      <c r="A411">
        <v>1620</v>
      </c>
      <c r="B411" t="s">
        <v>114</v>
      </c>
      <c r="C411">
        <v>10</v>
      </c>
      <c r="D411">
        <v>9</v>
      </c>
      <c r="E411" t="s">
        <v>89</v>
      </c>
      <c r="F411" t="s">
        <v>90</v>
      </c>
      <c r="G411" t="s">
        <v>15</v>
      </c>
      <c r="H411" t="s">
        <v>91</v>
      </c>
      <c r="I411">
        <v>20</v>
      </c>
      <c r="J411">
        <v>0</v>
      </c>
      <c r="K411">
        <v>7</v>
      </c>
      <c r="L411" t="s">
        <v>92</v>
      </c>
      <c r="M411">
        <v>26</v>
      </c>
      <c r="N411">
        <v>1</v>
      </c>
      <c r="O411" t="s">
        <v>15</v>
      </c>
      <c r="P411">
        <v>1</v>
      </c>
      <c r="Q411" t="s">
        <v>90</v>
      </c>
      <c r="R411" t="s">
        <v>115</v>
      </c>
    </row>
    <row r="412" spans="1:18">
      <c r="A412">
        <v>1621</v>
      </c>
      <c r="B412" t="s">
        <v>114</v>
      </c>
      <c r="C412">
        <v>11</v>
      </c>
      <c r="D412">
        <v>11</v>
      </c>
      <c r="E412" t="s">
        <v>95</v>
      </c>
      <c r="F412" t="s">
        <v>90</v>
      </c>
      <c r="G412" t="s">
        <v>15</v>
      </c>
      <c r="H412" t="s">
        <v>91</v>
      </c>
      <c r="I412">
        <v>20</v>
      </c>
      <c r="J412">
        <v>15</v>
      </c>
      <c r="K412">
        <v>7</v>
      </c>
      <c r="L412" t="s">
        <v>92</v>
      </c>
      <c r="M412">
        <v>26</v>
      </c>
      <c r="N412">
        <v>1</v>
      </c>
      <c r="O412" t="s">
        <v>15</v>
      </c>
      <c r="P412">
        <v>1</v>
      </c>
      <c r="Q412" t="s">
        <v>90</v>
      </c>
      <c r="R412" t="s">
        <v>115</v>
      </c>
    </row>
    <row r="413" spans="1:18">
      <c r="A413">
        <v>1622</v>
      </c>
      <c r="B413" t="s">
        <v>114</v>
      </c>
      <c r="C413">
        <v>12</v>
      </c>
      <c r="D413">
        <v>11</v>
      </c>
      <c r="E413" t="s">
        <v>95</v>
      </c>
      <c r="F413" t="s">
        <v>90</v>
      </c>
      <c r="G413" t="s">
        <v>15</v>
      </c>
      <c r="H413" t="s">
        <v>91</v>
      </c>
      <c r="I413">
        <v>20</v>
      </c>
      <c r="J413">
        <v>0</v>
      </c>
      <c r="K413">
        <v>7</v>
      </c>
      <c r="L413" t="s">
        <v>92</v>
      </c>
      <c r="M413">
        <v>26</v>
      </c>
      <c r="N413">
        <v>1</v>
      </c>
      <c r="O413" t="s">
        <v>15</v>
      </c>
      <c r="P413">
        <v>1</v>
      </c>
      <c r="Q413" t="s">
        <v>90</v>
      </c>
      <c r="R413" t="s">
        <v>115</v>
      </c>
    </row>
    <row r="414" spans="1:18">
      <c r="A414">
        <v>1623</v>
      </c>
      <c r="B414" t="s">
        <v>114</v>
      </c>
      <c r="C414">
        <v>13</v>
      </c>
      <c r="D414">
        <v>11</v>
      </c>
      <c r="E414" t="s">
        <v>95</v>
      </c>
      <c r="F414" t="s">
        <v>90</v>
      </c>
      <c r="G414" t="s">
        <v>15</v>
      </c>
      <c r="H414" t="s">
        <v>91</v>
      </c>
      <c r="I414">
        <v>20</v>
      </c>
      <c r="J414">
        <v>0</v>
      </c>
      <c r="K414">
        <v>7</v>
      </c>
      <c r="L414" t="s">
        <v>92</v>
      </c>
      <c r="M414">
        <v>26</v>
      </c>
      <c r="N414">
        <v>1</v>
      </c>
      <c r="O414" t="s">
        <v>15</v>
      </c>
      <c r="P414">
        <v>1</v>
      </c>
      <c r="Q414" t="s">
        <v>90</v>
      </c>
      <c r="R414" t="s">
        <v>115</v>
      </c>
    </row>
    <row r="415" spans="1:18">
      <c r="A415">
        <v>1624</v>
      </c>
      <c r="B415" t="s">
        <v>114</v>
      </c>
      <c r="C415">
        <v>14</v>
      </c>
      <c r="D415">
        <v>11</v>
      </c>
      <c r="E415" t="s">
        <v>95</v>
      </c>
      <c r="F415" t="s">
        <v>90</v>
      </c>
      <c r="G415" t="s">
        <v>15</v>
      </c>
      <c r="H415" t="s">
        <v>91</v>
      </c>
      <c r="I415">
        <v>20</v>
      </c>
      <c r="J415">
        <v>0</v>
      </c>
      <c r="K415">
        <v>7</v>
      </c>
      <c r="L415" t="s">
        <v>92</v>
      </c>
      <c r="M415">
        <v>26</v>
      </c>
      <c r="N415">
        <v>1</v>
      </c>
      <c r="O415" t="s">
        <v>15</v>
      </c>
      <c r="P415">
        <v>1</v>
      </c>
      <c r="Q415" t="s">
        <v>90</v>
      </c>
      <c r="R415" t="s">
        <v>115</v>
      </c>
    </row>
    <row r="416" spans="1:18">
      <c r="A416">
        <v>1625</v>
      </c>
      <c r="B416" t="s">
        <v>114</v>
      </c>
      <c r="C416">
        <v>15</v>
      </c>
      <c r="D416">
        <v>11</v>
      </c>
      <c r="E416" t="s">
        <v>95</v>
      </c>
      <c r="F416" t="s">
        <v>90</v>
      </c>
      <c r="G416" t="s">
        <v>15</v>
      </c>
      <c r="H416" t="s">
        <v>91</v>
      </c>
      <c r="I416">
        <v>20</v>
      </c>
      <c r="J416">
        <v>0</v>
      </c>
      <c r="K416">
        <v>7</v>
      </c>
      <c r="L416" t="s">
        <v>92</v>
      </c>
      <c r="M416">
        <v>26</v>
      </c>
      <c r="N416">
        <v>1</v>
      </c>
      <c r="O416" t="s">
        <v>15</v>
      </c>
      <c r="P416">
        <v>1</v>
      </c>
      <c r="Q416" t="s">
        <v>90</v>
      </c>
      <c r="R416" t="s">
        <v>115</v>
      </c>
    </row>
    <row r="417" spans="1:18">
      <c r="A417">
        <v>1626</v>
      </c>
      <c r="B417" t="s">
        <v>114</v>
      </c>
      <c r="C417">
        <v>16</v>
      </c>
      <c r="D417">
        <v>11</v>
      </c>
      <c r="E417" t="s">
        <v>95</v>
      </c>
      <c r="F417" t="s">
        <v>90</v>
      </c>
      <c r="G417" t="s">
        <v>15</v>
      </c>
      <c r="H417" t="s">
        <v>91</v>
      </c>
      <c r="I417">
        <v>20</v>
      </c>
      <c r="J417">
        <v>0</v>
      </c>
      <c r="K417">
        <v>7</v>
      </c>
      <c r="L417" t="s">
        <v>92</v>
      </c>
      <c r="M417">
        <v>26</v>
      </c>
      <c r="N417">
        <v>1</v>
      </c>
      <c r="O417" t="s">
        <v>15</v>
      </c>
      <c r="P417">
        <v>1</v>
      </c>
      <c r="Q417" t="s">
        <v>90</v>
      </c>
      <c r="R417" t="s">
        <v>115</v>
      </c>
    </row>
    <row r="418" spans="1:18">
      <c r="A418">
        <v>1627</v>
      </c>
      <c r="B418" t="s">
        <v>114</v>
      </c>
      <c r="C418">
        <v>17</v>
      </c>
      <c r="D418">
        <v>11</v>
      </c>
      <c r="E418" t="s">
        <v>95</v>
      </c>
      <c r="F418" t="s">
        <v>90</v>
      </c>
      <c r="G418" t="s">
        <v>15</v>
      </c>
      <c r="H418" t="s">
        <v>91</v>
      </c>
      <c r="I418">
        <v>20</v>
      </c>
      <c r="J418">
        <v>0</v>
      </c>
      <c r="K418">
        <v>7</v>
      </c>
      <c r="L418" t="s">
        <v>92</v>
      </c>
      <c r="M418">
        <v>26</v>
      </c>
      <c r="N418">
        <v>1</v>
      </c>
      <c r="O418" t="s">
        <v>15</v>
      </c>
      <c r="P418">
        <v>1</v>
      </c>
      <c r="Q418" t="s">
        <v>90</v>
      </c>
      <c r="R418" t="s">
        <v>115</v>
      </c>
    </row>
    <row r="419" spans="1:18">
      <c r="A419">
        <v>1628</v>
      </c>
      <c r="B419" t="s">
        <v>114</v>
      </c>
      <c r="C419">
        <v>18</v>
      </c>
      <c r="D419">
        <v>11</v>
      </c>
      <c r="E419" t="s">
        <v>95</v>
      </c>
      <c r="F419" t="s">
        <v>90</v>
      </c>
      <c r="G419" t="s">
        <v>15</v>
      </c>
      <c r="H419" t="s">
        <v>91</v>
      </c>
      <c r="I419">
        <v>20</v>
      </c>
      <c r="J419">
        <v>0</v>
      </c>
      <c r="K419">
        <v>7</v>
      </c>
      <c r="L419" t="s">
        <v>92</v>
      </c>
      <c r="M419">
        <v>26</v>
      </c>
      <c r="N419">
        <v>1</v>
      </c>
      <c r="O419" t="s">
        <v>15</v>
      </c>
      <c r="P419">
        <v>1</v>
      </c>
      <c r="Q419" t="s">
        <v>90</v>
      </c>
      <c r="R419" t="s">
        <v>115</v>
      </c>
    </row>
    <row r="420" spans="1:18">
      <c r="A420">
        <v>1629</v>
      </c>
      <c r="B420" t="s">
        <v>114</v>
      </c>
      <c r="C420">
        <v>19</v>
      </c>
      <c r="D420">
        <v>11</v>
      </c>
      <c r="E420" t="s">
        <v>95</v>
      </c>
      <c r="F420" t="s">
        <v>90</v>
      </c>
      <c r="G420" t="s">
        <v>15</v>
      </c>
      <c r="H420" t="s">
        <v>91</v>
      </c>
      <c r="I420">
        <v>20</v>
      </c>
      <c r="J420">
        <v>0</v>
      </c>
      <c r="K420">
        <v>7</v>
      </c>
      <c r="L420" t="s">
        <v>92</v>
      </c>
      <c r="M420">
        <v>26</v>
      </c>
      <c r="N420">
        <v>1</v>
      </c>
      <c r="O420" t="s">
        <v>15</v>
      </c>
      <c r="P420">
        <v>1</v>
      </c>
      <c r="Q420" t="s">
        <v>90</v>
      </c>
      <c r="R420" t="s">
        <v>115</v>
      </c>
    </row>
    <row r="421" spans="1:18">
      <c r="A421">
        <v>1630</v>
      </c>
      <c r="B421" t="s">
        <v>114</v>
      </c>
      <c r="C421">
        <v>20</v>
      </c>
      <c r="D421">
        <v>11</v>
      </c>
      <c r="E421" t="s">
        <v>95</v>
      </c>
      <c r="F421" t="s">
        <v>90</v>
      </c>
      <c r="G421" t="s">
        <v>15</v>
      </c>
      <c r="H421" t="s">
        <v>91</v>
      </c>
      <c r="I421">
        <v>20</v>
      </c>
      <c r="J421">
        <v>0</v>
      </c>
      <c r="K421">
        <v>7</v>
      </c>
      <c r="L421" t="s">
        <v>92</v>
      </c>
      <c r="M421">
        <v>26</v>
      </c>
      <c r="N421">
        <v>1</v>
      </c>
      <c r="O421" t="s">
        <v>15</v>
      </c>
      <c r="P421">
        <v>1</v>
      </c>
      <c r="Q421" t="s">
        <v>90</v>
      </c>
      <c r="R421" t="s">
        <v>115</v>
      </c>
    </row>
    <row r="422" spans="1:18">
      <c r="A422">
        <v>1631</v>
      </c>
      <c r="B422" t="s">
        <v>114</v>
      </c>
      <c r="C422">
        <v>21</v>
      </c>
      <c r="D422">
        <v>9</v>
      </c>
      <c r="E422" t="s">
        <v>89</v>
      </c>
      <c r="F422" t="s">
        <v>90</v>
      </c>
      <c r="G422" t="s">
        <v>15</v>
      </c>
      <c r="H422" t="s">
        <v>91</v>
      </c>
      <c r="I422">
        <v>20</v>
      </c>
      <c r="J422">
        <v>0</v>
      </c>
      <c r="K422">
        <v>7</v>
      </c>
      <c r="L422" t="s">
        <v>92</v>
      </c>
      <c r="M422">
        <v>26</v>
      </c>
      <c r="N422">
        <v>1</v>
      </c>
      <c r="O422" t="s">
        <v>15</v>
      </c>
      <c r="P422">
        <v>1</v>
      </c>
      <c r="Q422" t="s">
        <v>90</v>
      </c>
      <c r="R422" t="s">
        <v>115</v>
      </c>
    </row>
    <row r="423" spans="1:18">
      <c r="A423">
        <v>1632</v>
      </c>
      <c r="B423" t="s">
        <v>114</v>
      </c>
      <c r="C423">
        <v>22</v>
      </c>
      <c r="D423">
        <v>10</v>
      </c>
      <c r="E423" t="s">
        <v>94</v>
      </c>
      <c r="F423" t="s">
        <v>90</v>
      </c>
      <c r="G423" t="s">
        <v>15</v>
      </c>
      <c r="H423" t="s">
        <v>91</v>
      </c>
      <c r="I423">
        <v>20</v>
      </c>
      <c r="J423">
        <v>0</v>
      </c>
      <c r="K423">
        <v>7</v>
      </c>
      <c r="L423" t="s">
        <v>92</v>
      </c>
      <c r="M423">
        <v>26</v>
      </c>
      <c r="N423">
        <v>1</v>
      </c>
      <c r="O423" t="s">
        <v>15</v>
      </c>
      <c r="P423">
        <v>1</v>
      </c>
      <c r="Q423" t="s">
        <v>90</v>
      </c>
      <c r="R423" t="s">
        <v>115</v>
      </c>
    </row>
    <row r="424" spans="1:18">
      <c r="A424">
        <v>1633</v>
      </c>
      <c r="B424" t="s">
        <v>114</v>
      </c>
      <c r="C424">
        <v>23</v>
      </c>
      <c r="D424">
        <v>9</v>
      </c>
      <c r="E424" t="s">
        <v>89</v>
      </c>
      <c r="F424" t="s">
        <v>90</v>
      </c>
      <c r="G424" t="s">
        <v>15</v>
      </c>
      <c r="H424" t="s">
        <v>91</v>
      </c>
      <c r="I424">
        <v>20</v>
      </c>
      <c r="J424">
        <v>0</v>
      </c>
      <c r="K424">
        <v>7</v>
      </c>
      <c r="L424" t="s">
        <v>92</v>
      </c>
      <c r="M424">
        <v>26</v>
      </c>
      <c r="N424">
        <v>1</v>
      </c>
      <c r="O424" t="s">
        <v>15</v>
      </c>
      <c r="P424">
        <v>1</v>
      </c>
      <c r="Q424" t="s">
        <v>90</v>
      </c>
      <c r="R424" t="s">
        <v>115</v>
      </c>
    </row>
    <row r="425" spans="1:18">
      <c r="A425">
        <v>1634</v>
      </c>
      <c r="B425" t="s">
        <v>114</v>
      </c>
      <c r="C425">
        <v>24</v>
      </c>
      <c r="D425">
        <v>10</v>
      </c>
      <c r="E425" t="s">
        <v>94</v>
      </c>
      <c r="F425" t="s">
        <v>90</v>
      </c>
      <c r="G425" t="s">
        <v>15</v>
      </c>
      <c r="H425" t="s">
        <v>91</v>
      </c>
      <c r="I425">
        <v>20</v>
      </c>
      <c r="J425">
        <v>0</v>
      </c>
      <c r="K425">
        <v>7</v>
      </c>
      <c r="L425" t="s">
        <v>92</v>
      </c>
      <c r="M425">
        <v>26</v>
      </c>
      <c r="N425">
        <v>1</v>
      </c>
      <c r="O425" t="s">
        <v>15</v>
      </c>
      <c r="P425">
        <v>1</v>
      </c>
      <c r="Q425" t="s">
        <v>90</v>
      </c>
      <c r="R425" t="s">
        <v>115</v>
      </c>
    </row>
    <row r="426" spans="1:18">
      <c r="A426">
        <v>1635</v>
      </c>
      <c r="B426" t="s">
        <v>114</v>
      </c>
      <c r="C426">
        <v>25</v>
      </c>
      <c r="D426">
        <v>9</v>
      </c>
      <c r="E426" t="s">
        <v>89</v>
      </c>
      <c r="F426" t="s">
        <v>90</v>
      </c>
      <c r="G426" t="s">
        <v>15</v>
      </c>
      <c r="H426" t="s">
        <v>91</v>
      </c>
      <c r="I426">
        <v>20</v>
      </c>
      <c r="J426">
        <v>0</v>
      </c>
      <c r="K426">
        <v>7</v>
      </c>
      <c r="L426" t="s">
        <v>92</v>
      </c>
      <c r="M426">
        <v>26</v>
      </c>
      <c r="N426">
        <v>1</v>
      </c>
      <c r="O426" t="s">
        <v>15</v>
      </c>
      <c r="P426">
        <v>1</v>
      </c>
      <c r="Q426" t="s">
        <v>90</v>
      </c>
      <c r="R426" t="s">
        <v>115</v>
      </c>
    </row>
    <row r="427" spans="1:18">
      <c r="A427">
        <v>1636</v>
      </c>
      <c r="B427" t="s">
        <v>114</v>
      </c>
      <c r="C427">
        <v>26</v>
      </c>
      <c r="D427">
        <v>10</v>
      </c>
      <c r="E427" t="s">
        <v>94</v>
      </c>
      <c r="F427" t="s">
        <v>90</v>
      </c>
      <c r="G427" t="s">
        <v>15</v>
      </c>
      <c r="H427" t="s">
        <v>91</v>
      </c>
      <c r="I427">
        <v>20</v>
      </c>
      <c r="J427">
        <v>0</v>
      </c>
      <c r="K427">
        <v>7</v>
      </c>
      <c r="L427" t="s">
        <v>92</v>
      </c>
      <c r="M427">
        <v>26</v>
      </c>
      <c r="N427">
        <v>1</v>
      </c>
      <c r="O427" t="s">
        <v>15</v>
      </c>
      <c r="P427">
        <v>1</v>
      </c>
      <c r="Q427" t="s">
        <v>90</v>
      </c>
      <c r="R427" t="s">
        <v>115</v>
      </c>
    </row>
    <row r="428" spans="1:18">
      <c r="A428">
        <v>1637</v>
      </c>
      <c r="B428" t="s">
        <v>114</v>
      </c>
      <c r="C428">
        <v>27</v>
      </c>
      <c r="D428">
        <v>9</v>
      </c>
      <c r="E428" t="s">
        <v>89</v>
      </c>
      <c r="F428" t="s">
        <v>90</v>
      </c>
      <c r="G428" t="s">
        <v>15</v>
      </c>
      <c r="H428" t="s">
        <v>91</v>
      </c>
      <c r="I428">
        <v>20</v>
      </c>
      <c r="J428">
        <v>0</v>
      </c>
      <c r="K428">
        <v>7</v>
      </c>
      <c r="L428" t="s">
        <v>92</v>
      </c>
      <c r="M428">
        <v>26</v>
      </c>
      <c r="N428">
        <v>1</v>
      </c>
      <c r="O428" t="s">
        <v>15</v>
      </c>
      <c r="P428">
        <v>1</v>
      </c>
      <c r="Q428" t="s">
        <v>90</v>
      </c>
      <c r="R428" t="s">
        <v>115</v>
      </c>
    </row>
    <row r="429" spans="1:18">
      <c r="A429">
        <v>1638</v>
      </c>
      <c r="B429" t="s">
        <v>114</v>
      </c>
      <c r="C429">
        <v>28</v>
      </c>
      <c r="D429">
        <v>10</v>
      </c>
      <c r="E429" t="s">
        <v>94</v>
      </c>
      <c r="F429" t="s">
        <v>90</v>
      </c>
      <c r="G429" t="s">
        <v>15</v>
      </c>
      <c r="H429" t="s">
        <v>91</v>
      </c>
      <c r="I429">
        <v>20</v>
      </c>
      <c r="J429">
        <v>0</v>
      </c>
      <c r="K429">
        <v>7</v>
      </c>
      <c r="L429" t="s">
        <v>92</v>
      </c>
      <c r="M429">
        <v>26</v>
      </c>
      <c r="N429">
        <v>1</v>
      </c>
      <c r="O429" t="s">
        <v>15</v>
      </c>
      <c r="P429">
        <v>1</v>
      </c>
      <c r="Q429" t="s">
        <v>90</v>
      </c>
      <c r="R429" t="s">
        <v>115</v>
      </c>
    </row>
    <row r="430" spans="1:18">
      <c r="A430">
        <v>1639</v>
      </c>
      <c r="B430" t="s">
        <v>114</v>
      </c>
      <c r="C430">
        <v>29</v>
      </c>
      <c r="D430">
        <v>9</v>
      </c>
      <c r="E430" t="s">
        <v>89</v>
      </c>
      <c r="F430" t="s">
        <v>90</v>
      </c>
      <c r="G430" t="s">
        <v>15</v>
      </c>
      <c r="H430" t="s">
        <v>91</v>
      </c>
      <c r="I430">
        <v>20</v>
      </c>
      <c r="J430">
        <v>0</v>
      </c>
      <c r="K430">
        <v>7</v>
      </c>
      <c r="L430" t="s">
        <v>92</v>
      </c>
      <c r="M430">
        <v>26</v>
      </c>
      <c r="N430">
        <v>1</v>
      </c>
      <c r="O430" t="s">
        <v>15</v>
      </c>
      <c r="P430">
        <v>1</v>
      </c>
      <c r="Q430" t="s">
        <v>90</v>
      </c>
      <c r="R430" t="s">
        <v>115</v>
      </c>
    </row>
    <row r="431" spans="1:18">
      <c r="A431">
        <v>1640</v>
      </c>
      <c r="B431" t="s">
        <v>114</v>
      </c>
      <c r="C431">
        <v>30</v>
      </c>
      <c r="D431">
        <v>10</v>
      </c>
      <c r="E431" t="s">
        <v>94</v>
      </c>
      <c r="F431" t="s">
        <v>90</v>
      </c>
      <c r="G431" t="s">
        <v>15</v>
      </c>
      <c r="H431" t="s">
        <v>91</v>
      </c>
      <c r="I431">
        <v>20</v>
      </c>
      <c r="J431">
        <v>0</v>
      </c>
      <c r="K431">
        <v>7</v>
      </c>
      <c r="L431" t="s">
        <v>92</v>
      </c>
      <c r="M431">
        <v>26</v>
      </c>
      <c r="N431">
        <v>1</v>
      </c>
      <c r="O431" t="s">
        <v>15</v>
      </c>
      <c r="P431">
        <v>1</v>
      </c>
      <c r="Q431" t="s">
        <v>90</v>
      </c>
      <c r="R431" t="s">
        <v>115</v>
      </c>
    </row>
    <row r="432" spans="1:18">
      <c r="A432">
        <v>1641</v>
      </c>
      <c r="B432" t="s">
        <v>114</v>
      </c>
      <c r="C432">
        <v>31</v>
      </c>
      <c r="D432">
        <v>12</v>
      </c>
      <c r="E432" t="s">
        <v>96</v>
      </c>
      <c r="F432" t="s">
        <v>90</v>
      </c>
      <c r="G432" t="s">
        <v>15</v>
      </c>
      <c r="H432" t="s">
        <v>91</v>
      </c>
      <c r="I432">
        <v>20</v>
      </c>
      <c r="J432">
        <v>17</v>
      </c>
      <c r="K432">
        <v>7</v>
      </c>
      <c r="L432" t="s">
        <v>92</v>
      </c>
      <c r="M432">
        <v>26</v>
      </c>
      <c r="N432">
        <v>1</v>
      </c>
      <c r="O432" t="s">
        <v>15</v>
      </c>
      <c r="P432">
        <v>1</v>
      </c>
      <c r="Q432" t="s">
        <v>90</v>
      </c>
      <c r="R432" t="s">
        <v>115</v>
      </c>
    </row>
    <row r="433" spans="1:18">
      <c r="A433">
        <v>1642</v>
      </c>
      <c r="B433" t="s">
        <v>114</v>
      </c>
      <c r="C433">
        <v>32</v>
      </c>
      <c r="D433">
        <v>12</v>
      </c>
      <c r="E433" t="s">
        <v>96</v>
      </c>
      <c r="F433" t="s">
        <v>90</v>
      </c>
      <c r="G433" t="s">
        <v>15</v>
      </c>
      <c r="H433" t="s">
        <v>91</v>
      </c>
      <c r="I433">
        <v>20</v>
      </c>
      <c r="J433">
        <v>0</v>
      </c>
      <c r="K433">
        <v>7</v>
      </c>
      <c r="L433" t="s">
        <v>92</v>
      </c>
      <c r="M433">
        <v>26</v>
      </c>
      <c r="N433">
        <v>1</v>
      </c>
      <c r="O433" t="s">
        <v>15</v>
      </c>
      <c r="P433">
        <v>1</v>
      </c>
      <c r="Q433" t="s">
        <v>90</v>
      </c>
      <c r="R433" t="s">
        <v>115</v>
      </c>
    </row>
    <row r="434" spans="1:18">
      <c r="A434">
        <v>1643</v>
      </c>
      <c r="B434" t="s">
        <v>114</v>
      </c>
      <c r="C434">
        <v>33</v>
      </c>
      <c r="D434">
        <v>12</v>
      </c>
      <c r="E434" t="s">
        <v>96</v>
      </c>
      <c r="F434" t="s">
        <v>90</v>
      </c>
      <c r="G434" t="s">
        <v>15</v>
      </c>
      <c r="H434" t="s">
        <v>91</v>
      </c>
      <c r="I434">
        <v>20</v>
      </c>
      <c r="J434">
        <v>0</v>
      </c>
      <c r="K434">
        <v>7</v>
      </c>
      <c r="L434" t="s">
        <v>92</v>
      </c>
      <c r="M434">
        <v>26</v>
      </c>
      <c r="N434">
        <v>1</v>
      </c>
      <c r="O434" t="s">
        <v>15</v>
      </c>
      <c r="P434">
        <v>1</v>
      </c>
      <c r="Q434" t="s">
        <v>90</v>
      </c>
      <c r="R434" t="s">
        <v>115</v>
      </c>
    </row>
    <row r="435" spans="1:18">
      <c r="A435">
        <v>1644</v>
      </c>
      <c r="B435" t="s">
        <v>114</v>
      </c>
      <c r="C435">
        <v>34</v>
      </c>
      <c r="D435">
        <v>12</v>
      </c>
      <c r="E435" t="s">
        <v>96</v>
      </c>
      <c r="F435" t="s">
        <v>90</v>
      </c>
      <c r="G435" t="s">
        <v>15</v>
      </c>
      <c r="H435" t="s">
        <v>91</v>
      </c>
      <c r="I435">
        <v>20</v>
      </c>
      <c r="J435">
        <v>0</v>
      </c>
      <c r="K435">
        <v>7</v>
      </c>
      <c r="L435" t="s">
        <v>92</v>
      </c>
      <c r="M435">
        <v>26</v>
      </c>
      <c r="N435">
        <v>1</v>
      </c>
      <c r="O435" t="s">
        <v>15</v>
      </c>
      <c r="P435">
        <v>1</v>
      </c>
      <c r="Q435" t="s">
        <v>90</v>
      </c>
      <c r="R435" t="s">
        <v>115</v>
      </c>
    </row>
    <row r="436" spans="1:18">
      <c r="A436">
        <v>1645</v>
      </c>
      <c r="B436" t="s">
        <v>114</v>
      </c>
      <c r="C436">
        <v>35</v>
      </c>
      <c r="D436">
        <v>12</v>
      </c>
      <c r="E436" t="s">
        <v>96</v>
      </c>
      <c r="F436" t="s">
        <v>90</v>
      </c>
      <c r="G436" t="s">
        <v>15</v>
      </c>
      <c r="H436" t="s">
        <v>91</v>
      </c>
      <c r="I436">
        <v>20</v>
      </c>
      <c r="J436">
        <v>0</v>
      </c>
      <c r="K436">
        <v>7</v>
      </c>
      <c r="L436" t="s">
        <v>92</v>
      </c>
      <c r="M436">
        <v>26</v>
      </c>
      <c r="N436">
        <v>1</v>
      </c>
      <c r="O436" t="s">
        <v>15</v>
      </c>
      <c r="P436">
        <v>1</v>
      </c>
      <c r="Q436" t="s">
        <v>90</v>
      </c>
      <c r="R436" t="s">
        <v>115</v>
      </c>
    </row>
    <row r="437" spans="1:18">
      <c r="A437">
        <v>1646</v>
      </c>
      <c r="B437" t="s">
        <v>114</v>
      </c>
      <c r="C437">
        <v>36</v>
      </c>
      <c r="D437">
        <v>12</v>
      </c>
      <c r="E437" t="s">
        <v>96</v>
      </c>
      <c r="F437" t="s">
        <v>90</v>
      </c>
      <c r="G437" t="s">
        <v>15</v>
      </c>
      <c r="H437" t="s">
        <v>91</v>
      </c>
      <c r="I437">
        <v>20</v>
      </c>
      <c r="J437">
        <v>0</v>
      </c>
      <c r="K437">
        <v>7</v>
      </c>
      <c r="L437" t="s">
        <v>92</v>
      </c>
      <c r="M437">
        <v>26</v>
      </c>
      <c r="N437">
        <v>1</v>
      </c>
      <c r="O437" t="s">
        <v>15</v>
      </c>
      <c r="P437">
        <v>1</v>
      </c>
      <c r="Q437" t="s">
        <v>90</v>
      </c>
      <c r="R437" t="s">
        <v>115</v>
      </c>
    </row>
    <row r="438" spans="1:18">
      <c r="A438">
        <v>1647</v>
      </c>
      <c r="B438" t="s">
        <v>114</v>
      </c>
      <c r="C438">
        <v>37</v>
      </c>
      <c r="D438">
        <v>12</v>
      </c>
      <c r="E438" t="s">
        <v>96</v>
      </c>
      <c r="F438" t="s">
        <v>90</v>
      </c>
      <c r="G438" t="s">
        <v>15</v>
      </c>
      <c r="H438" t="s">
        <v>91</v>
      </c>
      <c r="I438">
        <v>20</v>
      </c>
      <c r="J438">
        <v>0</v>
      </c>
      <c r="K438">
        <v>7</v>
      </c>
      <c r="L438" t="s">
        <v>92</v>
      </c>
      <c r="M438">
        <v>26</v>
      </c>
      <c r="N438">
        <v>1</v>
      </c>
      <c r="O438" t="s">
        <v>15</v>
      </c>
      <c r="P438">
        <v>1</v>
      </c>
      <c r="Q438" t="s">
        <v>90</v>
      </c>
      <c r="R438" t="s">
        <v>115</v>
      </c>
    </row>
    <row r="439" spans="1:18">
      <c r="A439">
        <v>1648</v>
      </c>
      <c r="B439" t="s">
        <v>114</v>
      </c>
      <c r="C439">
        <v>38</v>
      </c>
      <c r="D439">
        <v>12</v>
      </c>
      <c r="E439" t="s">
        <v>96</v>
      </c>
      <c r="F439" t="s">
        <v>90</v>
      </c>
      <c r="G439" t="s">
        <v>15</v>
      </c>
      <c r="H439" t="s">
        <v>91</v>
      </c>
      <c r="I439">
        <v>20</v>
      </c>
      <c r="J439">
        <v>0</v>
      </c>
      <c r="K439">
        <v>7</v>
      </c>
      <c r="L439" t="s">
        <v>92</v>
      </c>
      <c r="M439">
        <v>26</v>
      </c>
      <c r="N439">
        <v>1</v>
      </c>
      <c r="O439" t="s">
        <v>15</v>
      </c>
      <c r="P439">
        <v>1</v>
      </c>
      <c r="Q439" t="s">
        <v>90</v>
      </c>
      <c r="R439" t="s">
        <v>115</v>
      </c>
    </row>
    <row r="440" spans="1:18">
      <c r="A440">
        <v>1649</v>
      </c>
      <c r="B440" t="s">
        <v>114</v>
      </c>
      <c r="C440">
        <v>39</v>
      </c>
      <c r="D440">
        <v>12</v>
      </c>
      <c r="E440" t="s">
        <v>96</v>
      </c>
      <c r="F440" t="s">
        <v>90</v>
      </c>
      <c r="G440" t="s">
        <v>15</v>
      </c>
      <c r="H440" t="s">
        <v>91</v>
      </c>
      <c r="I440">
        <v>20</v>
      </c>
      <c r="J440">
        <v>0</v>
      </c>
      <c r="K440">
        <v>7</v>
      </c>
      <c r="L440" t="s">
        <v>92</v>
      </c>
      <c r="M440">
        <v>26</v>
      </c>
      <c r="N440">
        <v>1</v>
      </c>
      <c r="O440" t="s">
        <v>15</v>
      </c>
      <c r="P440">
        <v>1</v>
      </c>
      <c r="Q440" t="s">
        <v>90</v>
      </c>
      <c r="R440" t="s">
        <v>115</v>
      </c>
    </row>
    <row r="441" spans="1:18">
      <c r="A441">
        <v>1650</v>
      </c>
      <c r="B441" t="s">
        <v>114</v>
      </c>
      <c r="C441">
        <v>40</v>
      </c>
      <c r="D441">
        <v>12</v>
      </c>
      <c r="E441" t="s">
        <v>96</v>
      </c>
      <c r="F441" t="s">
        <v>90</v>
      </c>
      <c r="G441" t="s">
        <v>15</v>
      </c>
      <c r="H441" t="s">
        <v>91</v>
      </c>
      <c r="I441">
        <v>20</v>
      </c>
      <c r="J441">
        <v>0</v>
      </c>
      <c r="K441">
        <v>7</v>
      </c>
      <c r="L441" t="s">
        <v>92</v>
      </c>
      <c r="M441">
        <v>26</v>
      </c>
      <c r="N441">
        <v>1</v>
      </c>
      <c r="O441" t="s">
        <v>15</v>
      </c>
      <c r="P441">
        <v>1</v>
      </c>
      <c r="Q441" t="s">
        <v>90</v>
      </c>
      <c r="R441" t="s">
        <v>115</v>
      </c>
    </row>
    <row r="442" spans="1:18">
      <c r="A442">
        <v>1651</v>
      </c>
      <c r="B442" t="s">
        <v>88</v>
      </c>
      <c r="C442">
        <v>1</v>
      </c>
      <c r="D442">
        <v>9</v>
      </c>
      <c r="E442" t="s">
        <v>89</v>
      </c>
      <c r="F442" t="s">
        <v>90</v>
      </c>
      <c r="G442" t="s">
        <v>15</v>
      </c>
      <c r="H442" t="s">
        <v>91</v>
      </c>
      <c r="I442">
        <v>20</v>
      </c>
      <c r="J442">
        <v>0</v>
      </c>
      <c r="K442">
        <v>8</v>
      </c>
      <c r="L442" t="s">
        <v>116</v>
      </c>
      <c r="M442">
        <v>4</v>
      </c>
      <c r="N442">
        <v>1</v>
      </c>
      <c r="O442" t="s">
        <v>15</v>
      </c>
      <c r="P442">
        <v>1</v>
      </c>
      <c r="Q442" t="s">
        <v>90</v>
      </c>
      <c r="R442" t="s">
        <v>93</v>
      </c>
    </row>
    <row r="443" spans="1:18">
      <c r="A443">
        <v>1652</v>
      </c>
      <c r="B443" t="s">
        <v>88</v>
      </c>
      <c r="C443">
        <v>2</v>
      </c>
      <c r="D443">
        <v>10</v>
      </c>
      <c r="E443" t="s">
        <v>94</v>
      </c>
      <c r="F443" t="s">
        <v>90</v>
      </c>
      <c r="G443" t="s">
        <v>15</v>
      </c>
      <c r="H443" t="s">
        <v>91</v>
      </c>
      <c r="I443">
        <v>20</v>
      </c>
      <c r="J443">
        <v>0</v>
      </c>
      <c r="K443">
        <v>8</v>
      </c>
      <c r="L443" t="s">
        <v>116</v>
      </c>
      <c r="M443">
        <v>4</v>
      </c>
      <c r="N443">
        <v>1</v>
      </c>
      <c r="O443" t="s">
        <v>15</v>
      </c>
      <c r="P443">
        <v>1</v>
      </c>
      <c r="Q443" t="s">
        <v>90</v>
      </c>
      <c r="R443" t="s">
        <v>93</v>
      </c>
    </row>
    <row r="444" spans="1:18">
      <c r="A444">
        <v>1653</v>
      </c>
      <c r="B444" t="s">
        <v>88</v>
      </c>
      <c r="C444">
        <v>3</v>
      </c>
      <c r="D444">
        <v>9</v>
      </c>
      <c r="E444" t="s">
        <v>89</v>
      </c>
      <c r="F444" t="s">
        <v>90</v>
      </c>
      <c r="G444" t="s">
        <v>15</v>
      </c>
      <c r="H444" t="s">
        <v>91</v>
      </c>
      <c r="I444">
        <v>20</v>
      </c>
      <c r="J444">
        <v>0</v>
      </c>
      <c r="K444">
        <v>8</v>
      </c>
      <c r="L444" t="s">
        <v>116</v>
      </c>
      <c r="M444">
        <v>4</v>
      </c>
      <c r="N444">
        <v>1</v>
      </c>
      <c r="O444" t="s">
        <v>15</v>
      </c>
      <c r="P444">
        <v>1</v>
      </c>
      <c r="Q444" t="s">
        <v>90</v>
      </c>
      <c r="R444" t="s">
        <v>93</v>
      </c>
    </row>
    <row r="445" spans="1:18">
      <c r="A445">
        <v>1654</v>
      </c>
      <c r="B445" t="s">
        <v>88</v>
      </c>
      <c r="C445">
        <v>4</v>
      </c>
      <c r="D445">
        <v>9</v>
      </c>
      <c r="E445" t="s">
        <v>89</v>
      </c>
      <c r="F445" t="s">
        <v>90</v>
      </c>
      <c r="G445" t="s">
        <v>15</v>
      </c>
      <c r="H445" t="s">
        <v>91</v>
      </c>
      <c r="I445">
        <v>20</v>
      </c>
      <c r="J445">
        <v>0</v>
      </c>
      <c r="K445">
        <v>8</v>
      </c>
      <c r="L445" t="s">
        <v>116</v>
      </c>
      <c r="M445">
        <v>4</v>
      </c>
      <c r="N445">
        <v>1</v>
      </c>
      <c r="O445" t="s">
        <v>15</v>
      </c>
      <c r="P445">
        <v>1</v>
      </c>
      <c r="Q445" t="s">
        <v>90</v>
      </c>
      <c r="R445" t="s">
        <v>93</v>
      </c>
    </row>
    <row r="446" spans="1:18">
      <c r="A446">
        <v>1655</v>
      </c>
      <c r="B446" t="s">
        <v>88</v>
      </c>
      <c r="C446">
        <v>5</v>
      </c>
      <c r="D446">
        <v>9</v>
      </c>
      <c r="E446" t="s">
        <v>89</v>
      </c>
      <c r="F446" t="s">
        <v>90</v>
      </c>
      <c r="G446" t="s">
        <v>15</v>
      </c>
      <c r="H446" t="s">
        <v>91</v>
      </c>
      <c r="I446">
        <v>20</v>
      </c>
      <c r="J446">
        <v>0</v>
      </c>
      <c r="K446">
        <v>8</v>
      </c>
      <c r="L446" t="s">
        <v>116</v>
      </c>
      <c r="M446">
        <v>4</v>
      </c>
      <c r="N446">
        <v>1</v>
      </c>
      <c r="O446" t="s">
        <v>15</v>
      </c>
      <c r="P446">
        <v>1</v>
      </c>
      <c r="Q446" t="s">
        <v>90</v>
      </c>
      <c r="R446" t="s">
        <v>93</v>
      </c>
    </row>
    <row r="447" spans="1:18">
      <c r="A447">
        <v>1656</v>
      </c>
      <c r="B447" t="s">
        <v>88</v>
      </c>
      <c r="C447">
        <v>6</v>
      </c>
      <c r="D447">
        <v>10</v>
      </c>
      <c r="E447" t="s">
        <v>94</v>
      </c>
      <c r="F447" t="s">
        <v>90</v>
      </c>
      <c r="G447" t="s">
        <v>15</v>
      </c>
      <c r="H447" t="s">
        <v>91</v>
      </c>
      <c r="I447">
        <v>20</v>
      </c>
      <c r="J447">
        <v>0</v>
      </c>
      <c r="K447">
        <v>8</v>
      </c>
      <c r="L447" t="s">
        <v>116</v>
      </c>
      <c r="M447">
        <v>4</v>
      </c>
      <c r="N447">
        <v>1</v>
      </c>
      <c r="O447" t="s">
        <v>15</v>
      </c>
      <c r="P447">
        <v>1</v>
      </c>
      <c r="Q447" t="s">
        <v>90</v>
      </c>
      <c r="R447" t="s">
        <v>93</v>
      </c>
    </row>
    <row r="448" spans="1:18">
      <c r="A448">
        <v>1657</v>
      </c>
      <c r="B448" t="s">
        <v>88</v>
      </c>
      <c r="C448">
        <v>7</v>
      </c>
      <c r="D448">
        <v>10</v>
      </c>
      <c r="E448" t="s">
        <v>94</v>
      </c>
      <c r="F448" t="s">
        <v>90</v>
      </c>
      <c r="G448" t="s">
        <v>15</v>
      </c>
      <c r="H448" t="s">
        <v>91</v>
      </c>
      <c r="I448">
        <v>20</v>
      </c>
      <c r="J448">
        <v>0</v>
      </c>
      <c r="K448">
        <v>8</v>
      </c>
      <c r="L448" t="s">
        <v>116</v>
      </c>
      <c r="M448">
        <v>4</v>
      </c>
      <c r="N448">
        <v>1</v>
      </c>
      <c r="O448" t="s">
        <v>15</v>
      </c>
      <c r="P448">
        <v>1</v>
      </c>
      <c r="Q448" t="s">
        <v>90</v>
      </c>
      <c r="R448" t="s">
        <v>93</v>
      </c>
    </row>
    <row r="449" spans="1:18">
      <c r="A449">
        <v>1658</v>
      </c>
      <c r="B449" t="s">
        <v>88</v>
      </c>
      <c r="C449">
        <v>8</v>
      </c>
      <c r="D449">
        <v>10</v>
      </c>
      <c r="E449" t="s">
        <v>94</v>
      </c>
      <c r="F449" t="s">
        <v>90</v>
      </c>
      <c r="G449" t="s">
        <v>15</v>
      </c>
      <c r="H449" t="s">
        <v>91</v>
      </c>
      <c r="I449">
        <v>20</v>
      </c>
      <c r="J449">
        <v>0</v>
      </c>
      <c r="K449">
        <v>8</v>
      </c>
      <c r="L449" t="s">
        <v>116</v>
      </c>
      <c r="M449">
        <v>4</v>
      </c>
      <c r="N449">
        <v>1</v>
      </c>
      <c r="O449" t="s">
        <v>15</v>
      </c>
      <c r="P449">
        <v>1</v>
      </c>
      <c r="Q449" t="s">
        <v>90</v>
      </c>
      <c r="R449" t="s">
        <v>93</v>
      </c>
    </row>
    <row r="450" spans="1:18">
      <c r="A450">
        <v>1659</v>
      </c>
      <c r="B450" t="s">
        <v>88</v>
      </c>
      <c r="C450">
        <v>9</v>
      </c>
      <c r="D450">
        <v>10</v>
      </c>
      <c r="E450" t="s">
        <v>94</v>
      </c>
      <c r="F450" t="s">
        <v>90</v>
      </c>
      <c r="G450" t="s">
        <v>15</v>
      </c>
      <c r="H450" t="s">
        <v>91</v>
      </c>
      <c r="I450">
        <v>20</v>
      </c>
      <c r="J450">
        <v>0</v>
      </c>
      <c r="K450">
        <v>8</v>
      </c>
      <c r="L450" t="s">
        <v>116</v>
      </c>
      <c r="M450">
        <v>4</v>
      </c>
      <c r="N450">
        <v>1</v>
      </c>
      <c r="O450" t="s">
        <v>15</v>
      </c>
      <c r="P450">
        <v>1</v>
      </c>
      <c r="Q450" t="s">
        <v>90</v>
      </c>
      <c r="R450" t="s">
        <v>93</v>
      </c>
    </row>
    <row r="451" spans="1:18">
      <c r="A451">
        <v>1660</v>
      </c>
      <c r="B451" t="s">
        <v>88</v>
      </c>
      <c r="C451">
        <v>10</v>
      </c>
      <c r="D451">
        <v>9</v>
      </c>
      <c r="E451" t="s">
        <v>89</v>
      </c>
      <c r="F451" t="s">
        <v>90</v>
      </c>
      <c r="G451" t="s">
        <v>15</v>
      </c>
      <c r="H451" t="s">
        <v>91</v>
      </c>
      <c r="I451">
        <v>20</v>
      </c>
      <c r="J451">
        <v>0</v>
      </c>
      <c r="K451">
        <v>8</v>
      </c>
      <c r="L451" t="s">
        <v>116</v>
      </c>
      <c r="M451">
        <v>4</v>
      </c>
      <c r="N451">
        <v>1</v>
      </c>
      <c r="O451" t="s">
        <v>15</v>
      </c>
      <c r="P451">
        <v>1</v>
      </c>
      <c r="Q451" t="s">
        <v>90</v>
      </c>
      <c r="R451" t="s">
        <v>93</v>
      </c>
    </row>
    <row r="452" spans="1:18">
      <c r="A452">
        <v>1661</v>
      </c>
      <c r="B452" t="s">
        <v>88</v>
      </c>
      <c r="C452">
        <v>11</v>
      </c>
      <c r="D452">
        <v>11</v>
      </c>
      <c r="E452" t="s">
        <v>95</v>
      </c>
      <c r="F452" t="s">
        <v>90</v>
      </c>
      <c r="G452" t="s">
        <v>15</v>
      </c>
      <c r="H452" t="s">
        <v>91</v>
      </c>
      <c r="I452">
        <v>20</v>
      </c>
      <c r="J452">
        <v>0</v>
      </c>
      <c r="K452">
        <v>8</v>
      </c>
      <c r="L452" t="s">
        <v>116</v>
      </c>
      <c r="M452">
        <v>4</v>
      </c>
      <c r="N452">
        <v>1</v>
      </c>
      <c r="O452" t="s">
        <v>15</v>
      </c>
      <c r="P452">
        <v>1</v>
      </c>
      <c r="Q452" t="s">
        <v>90</v>
      </c>
      <c r="R452" t="s">
        <v>93</v>
      </c>
    </row>
    <row r="453" spans="1:18">
      <c r="A453">
        <v>1662</v>
      </c>
      <c r="B453" t="s">
        <v>88</v>
      </c>
      <c r="C453">
        <v>12</v>
      </c>
      <c r="D453">
        <v>11</v>
      </c>
      <c r="E453" t="s">
        <v>95</v>
      </c>
      <c r="F453" t="s">
        <v>90</v>
      </c>
      <c r="G453" t="s">
        <v>15</v>
      </c>
      <c r="H453" t="s">
        <v>91</v>
      </c>
      <c r="I453">
        <v>20</v>
      </c>
      <c r="J453">
        <v>0</v>
      </c>
      <c r="K453">
        <v>8</v>
      </c>
      <c r="L453" t="s">
        <v>116</v>
      </c>
      <c r="M453">
        <v>4</v>
      </c>
      <c r="N453">
        <v>1</v>
      </c>
      <c r="O453" t="s">
        <v>15</v>
      </c>
      <c r="P453">
        <v>1</v>
      </c>
      <c r="Q453" t="s">
        <v>90</v>
      </c>
      <c r="R453" t="s">
        <v>93</v>
      </c>
    </row>
    <row r="454" spans="1:18">
      <c r="A454">
        <v>1663</v>
      </c>
      <c r="B454" t="s">
        <v>88</v>
      </c>
      <c r="C454">
        <v>13</v>
      </c>
      <c r="D454">
        <v>11</v>
      </c>
      <c r="E454" t="s">
        <v>95</v>
      </c>
      <c r="F454" t="s">
        <v>90</v>
      </c>
      <c r="G454" t="s">
        <v>15</v>
      </c>
      <c r="H454" t="s">
        <v>91</v>
      </c>
      <c r="I454">
        <v>20</v>
      </c>
      <c r="J454">
        <v>0</v>
      </c>
      <c r="K454">
        <v>8</v>
      </c>
      <c r="L454" t="s">
        <v>116</v>
      </c>
      <c r="M454">
        <v>4</v>
      </c>
      <c r="N454">
        <v>1</v>
      </c>
      <c r="O454" t="s">
        <v>15</v>
      </c>
      <c r="P454">
        <v>1</v>
      </c>
      <c r="Q454" t="s">
        <v>90</v>
      </c>
      <c r="R454" t="s">
        <v>93</v>
      </c>
    </row>
    <row r="455" spans="1:18">
      <c r="A455">
        <v>1664</v>
      </c>
      <c r="B455" t="s">
        <v>88</v>
      </c>
      <c r="C455">
        <v>14</v>
      </c>
      <c r="D455">
        <v>11</v>
      </c>
      <c r="E455" t="s">
        <v>95</v>
      </c>
      <c r="F455" t="s">
        <v>90</v>
      </c>
      <c r="G455" t="s">
        <v>15</v>
      </c>
      <c r="H455" t="s">
        <v>91</v>
      </c>
      <c r="I455">
        <v>20</v>
      </c>
      <c r="J455">
        <v>0</v>
      </c>
      <c r="K455">
        <v>8</v>
      </c>
      <c r="L455" t="s">
        <v>116</v>
      </c>
      <c r="M455">
        <v>4</v>
      </c>
      <c r="N455">
        <v>1</v>
      </c>
      <c r="O455" t="s">
        <v>15</v>
      </c>
      <c r="P455">
        <v>1</v>
      </c>
      <c r="Q455" t="s">
        <v>90</v>
      </c>
      <c r="R455" t="s">
        <v>93</v>
      </c>
    </row>
    <row r="456" spans="1:18">
      <c r="A456">
        <v>1665</v>
      </c>
      <c r="B456" t="s">
        <v>88</v>
      </c>
      <c r="C456">
        <v>15</v>
      </c>
      <c r="D456">
        <v>11</v>
      </c>
      <c r="E456" t="s">
        <v>95</v>
      </c>
      <c r="F456" t="s">
        <v>90</v>
      </c>
      <c r="G456" t="s">
        <v>15</v>
      </c>
      <c r="H456" t="s">
        <v>91</v>
      </c>
      <c r="I456">
        <v>20</v>
      </c>
      <c r="J456">
        <v>0</v>
      </c>
      <c r="K456">
        <v>8</v>
      </c>
      <c r="L456" t="s">
        <v>116</v>
      </c>
      <c r="M456">
        <v>4</v>
      </c>
      <c r="N456">
        <v>1</v>
      </c>
      <c r="O456" t="s">
        <v>15</v>
      </c>
      <c r="P456">
        <v>1</v>
      </c>
      <c r="Q456" t="s">
        <v>90</v>
      </c>
      <c r="R456" t="s">
        <v>93</v>
      </c>
    </row>
    <row r="457" spans="1:18">
      <c r="A457">
        <v>1666</v>
      </c>
      <c r="B457" t="s">
        <v>88</v>
      </c>
      <c r="C457">
        <v>16</v>
      </c>
      <c r="D457">
        <v>11</v>
      </c>
      <c r="E457" t="s">
        <v>95</v>
      </c>
      <c r="F457" t="s">
        <v>90</v>
      </c>
      <c r="G457" t="s">
        <v>15</v>
      </c>
      <c r="H457" t="s">
        <v>91</v>
      </c>
      <c r="I457">
        <v>20</v>
      </c>
      <c r="J457">
        <v>0</v>
      </c>
      <c r="K457">
        <v>8</v>
      </c>
      <c r="L457" t="s">
        <v>116</v>
      </c>
      <c r="M457">
        <v>4</v>
      </c>
      <c r="N457">
        <v>1</v>
      </c>
      <c r="O457" t="s">
        <v>15</v>
      </c>
      <c r="P457">
        <v>1</v>
      </c>
      <c r="Q457" t="s">
        <v>90</v>
      </c>
      <c r="R457" t="s">
        <v>93</v>
      </c>
    </row>
    <row r="458" spans="1:18">
      <c r="A458">
        <v>1667</v>
      </c>
      <c r="B458" t="s">
        <v>88</v>
      </c>
      <c r="C458">
        <v>17</v>
      </c>
      <c r="D458">
        <v>11</v>
      </c>
      <c r="E458" t="s">
        <v>95</v>
      </c>
      <c r="F458" t="s">
        <v>90</v>
      </c>
      <c r="G458" t="s">
        <v>15</v>
      </c>
      <c r="H458" t="s">
        <v>91</v>
      </c>
      <c r="I458">
        <v>20</v>
      </c>
      <c r="J458">
        <v>0</v>
      </c>
      <c r="K458">
        <v>8</v>
      </c>
      <c r="L458" t="s">
        <v>116</v>
      </c>
      <c r="M458">
        <v>4</v>
      </c>
      <c r="N458">
        <v>1</v>
      </c>
      <c r="O458" t="s">
        <v>15</v>
      </c>
      <c r="P458">
        <v>1</v>
      </c>
      <c r="Q458" t="s">
        <v>90</v>
      </c>
      <c r="R458" t="s">
        <v>93</v>
      </c>
    </row>
    <row r="459" spans="1:18">
      <c r="A459">
        <v>1668</v>
      </c>
      <c r="B459" t="s">
        <v>88</v>
      </c>
      <c r="C459">
        <v>18</v>
      </c>
      <c r="D459">
        <v>11</v>
      </c>
      <c r="E459" t="s">
        <v>95</v>
      </c>
      <c r="F459" t="s">
        <v>90</v>
      </c>
      <c r="G459" t="s">
        <v>15</v>
      </c>
      <c r="H459" t="s">
        <v>91</v>
      </c>
      <c r="I459">
        <v>20</v>
      </c>
      <c r="J459">
        <v>0</v>
      </c>
      <c r="K459">
        <v>8</v>
      </c>
      <c r="L459" t="s">
        <v>116</v>
      </c>
      <c r="M459">
        <v>4</v>
      </c>
      <c r="N459">
        <v>1</v>
      </c>
      <c r="O459" t="s">
        <v>15</v>
      </c>
      <c r="P459">
        <v>1</v>
      </c>
      <c r="Q459" t="s">
        <v>90</v>
      </c>
      <c r="R459" t="s">
        <v>93</v>
      </c>
    </row>
    <row r="460" spans="1:18">
      <c r="A460">
        <v>1669</v>
      </c>
      <c r="B460" t="s">
        <v>88</v>
      </c>
      <c r="C460">
        <v>19</v>
      </c>
      <c r="D460">
        <v>11</v>
      </c>
      <c r="E460" t="s">
        <v>95</v>
      </c>
      <c r="F460" t="s">
        <v>90</v>
      </c>
      <c r="G460" t="s">
        <v>15</v>
      </c>
      <c r="H460" t="s">
        <v>91</v>
      </c>
      <c r="I460">
        <v>20</v>
      </c>
      <c r="J460">
        <v>0</v>
      </c>
      <c r="K460">
        <v>8</v>
      </c>
      <c r="L460" t="s">
        <v>116</v>
      </c>
      <c r="M460">
        <v>4</v>
      </c>
      <c r="N460">
        <v>1</v>
      </c>
      <c r="O460" t="s">
        <v>15</v>
      </c>
      <c r="P460">
        <v>1</v>
      </c>
      <c r="Q460" t="s">
        <v>90</v>
      </c>
      <c r="R460" t="s">
        <v>93</v>
      </c>
    </row>
    <row r="461" spans="1:18">
      <c r="A461">
        <v>1670</v>
      </c>
      <c r="B461" t="s">
        <v>88</v>
      </c>
      <c r="C461">
        <v>20</v>
      </c>
      <c r="D461">
        <v>11</v>
      </c>
      <c r="E461" t="s">
        <v>95</v>
      </c>
      <c r="F461" t="s">
        <v>90</v>
      </c>
      <c r="G461" t="s">
        <v>15</v>
      </c>
      <c r="H461" t="s">
        <v>91</v>
      </c>
      <c r="I461">
        <v>20</v>
      </c>
      <c r="J461">
        <v>0</v>
      </c>
      <c r="K461">
        <v>8</v>
      </c>
      <c r="L461" t="s">
        <v>116</v>
      </c>
      <c r="M461">
        <v>4</v>
      </c>
      <c r="N461">
        <v>1</v>
      </c>
      <c r="O461" t="s">
        <v>15</v>
      </c>
      <c r="P461">
        <v>1</v>
      </c>
      <c r="Q461" t="s">
        <v>90</v>
      </c>
      <c r="R461" t="s">
        <v>93</v>
      </c>
    </row>
    <row r="462" spans="1:18">
      <c r="A462">
        <v>1671</v>
      </c>
      <c r="B462" t="s">
        <v>88</v>
      </c>
      <c r="C462">
        <v>21</v>
      </c>
      <c r="D462">
        <v>9</v>
      </c>
      <c r="E462" t="s">
        <v>89</v>
      </c>
      <c r="F462" t="s">
        <v>90</v>
      </c>
      <c r="G462" t="s">
        <v>15</v>
      </c>
      <c r="H462" t="s">
        <v>91</v>
      </c>
      <c r="I462">
        <v>20</v>
      </c>
      <c r="J462">
        <v>0</v>
      </c>
      <c r="K462">
        <v>8</v>
      </c>
      <c r="L462" t="s">
        <v>116</v>
      </c>
      <c r="M462">
        <v>4</v>
      </c>
      <c r="N462">
        <v>1</v>
      </c>
      <c r="O462" t="s">
        <v>15</v>
      </c>
      <c r="P462">
        <v>1</v>
      </c>
      <c r="Q462" t="s">
        <v>90</v>
      </c>
      <c r="R462" t="s">
        <v>93</v>
      </c>
    </row>
    <row r="463" spans="1:18">
      <c r="A463">
        <v>1672</v>
      </c>
      <c r="B463" t="s">
        <v>88</v>
      </c>
      <c r="C463">
        <v>22</v>
      </c>
      <c r="D463">
        <v>10</v>
      </c>
      <c r="E463" t="s">
        <v>94</v>
      </c>
      <c r="F463" t="s">
        <v>90</v>
      </c>
      <c r="G463" t="s">
        <v>15</v>
      </c>
      <c r="H463" t="s">
        <v>91</v>
      </c>
      <c r="I463">
        <v>20</v>
      </c>
      <c r="J463">
        <v>0</v>
      </c>
      <c r="K463">
        <v>8</v>
      </c>
      <c r="L463" t="s">
        <v>116</v>
      </c>
      <c r="M463">
        <v>4</v>
      </c>
      <c r="N463">
        <v>1</v>
      </c>
      <c r="O463" t="s">
        <v>15</v>
      </c>
      <c r="P463">
        <v>1</v>
      </c>
      <c r="Q463" t="s">
        <v>90</v>
      </c>
      <c r="R463" t="s">
        <v>93</v>
      </c>
    </row>
    <row r="464" spans="1:18">
      <c r="A464">
        <v>1673</v>
      </c>
      <c r="B464" t="s">
        <v>88</v>
      </c>
      <c r="C464">
        <v>23</v>
      </c>
      <c r="D464">
        <v>9</v>
      </c>
      <c r="E464" t="s">
        <v>89</v>
      </c>
      <c r="F464" t="s">
        <v>90</v>
      </c>
      <c r="G464" t="s">
        <v>15</v>
      </c>
      <c r="H464" t="s">
        <v>91</v>
      </c>
      <c r="I464">
        <v>20</v>
      </c>
      <c r="J464">
        <v>0</v>
      </c>
      <c r="K464">
        <v>8</v>
      </c>
      <c r="L464" t="s">
        <v>116</v>
      </c>
      <c r="M464">
        <v>4</v>
      </c>
      <c r="N464">
        <v>1</v>
      </c>
      <c r="O464" t="s">
        <v>15</v>
      </c>
      <c r="P464">
        <v>1</v>
      </c>
      <c r="Q464" t="s">
        <v>90</v>
      </c>
      <c r="R464" t="s">
        <v>93</v>
      </c>
    </row>
    <row r="465" spans="1:18">
      <c r="A465">
        <v>1674</v>
      </c>
      <c r="B465" t="s">
        <v>88</v>
      </c>
      <c r="C465">
        <v>24</v>
      </c>
      <c r="D465">
        <v>10</v>
      </c>
      <c r="E465" t="s">
        <v>94</v>
      </c>
      <c r="F465" t="s">
        <v>90</v>
      </c>
      <c r="G465" t="s">
        <v>15</v>
      </c>
      <c r="H465" t="s">
        <v>91</v>
      </c>
      <c r="I465">
        <v>20</v>
      </c>
      <c r="J465">
        <v>0</v>
      </c>
      <c r="K465">
        <v>8</v>
      </c>
      <c r="L465" t="s">
        <v>116</v>
      </c>
      <c r="M465">
        <v>4</v>
      </c>
      <c r="N465">
        <v>1</v>
      </c>
      <c r="O465" t="s">
        <v>15</v>
      </c>
      <c r="P465">
        <v>1</v>
      </c>
      <c r="Q465" t="s">
        <v>90</v>
      </c>
      <c r="R465" t="s">
        <v>93</v>
      </c>
    </row>
    <row r="466" spans="1:18">
      <c r="A466">
        <v>1675</v>
      </c>
      <c r="B466" t="s">
        <v>88</v>
      </c>
      <c r="C466">
        <v>25</v>
      </c>
      <c r="D466">
        <v>9</v>
      </c>
      <c r="E466" t="s">
        <v>89</v>
      </c>
      <c r="F466" t="s">
        <v>90</v>
      </c>
      <c r="G466" t="s">
        <v>15</v>
      </c>
      <c r="H466" t="s">
        <v>91</v>
      </c>
      <c r="I466">
        <v>20</v>
      </c>
      <c r="J466">
        <v>0</v>
      </c>
      <c r="K466">
        <v>8</v>
      </c>
      <c r="L466" t="s">
        <v>116</v>
      </c>
      <c r="M466">
        <v>4</v>
      </c>
      <c r="N466">
        <v>1</v>
      </c>
      <c r="O466" t="s">
        <v>15</v>
      </c>
      <c r="P466">
        <v>1</v>
      </c>
      <c r="Q466" t="s">
        <v>90</v>
      </c>
      <c r="R466" t="s">
        <v>93</v>
      </c>
    </row>
    <row r="467" spans="1:18">
      <c r="A467">
        <v>1676</v>
      </c>
      <c r="B467" t="s">
        <v>88</v>
      </c>
      <c r="C467">
        <v>26</v>
      </c>
      <c r="D467">
        <v>10</v>
      </c>
      <c r="E467" t="s">
        <v>94</v>
      </c>
      <c r="F467" t="s">
        <v>90</v>
      </c>
      <c r="G467" t="s">
        <v>15</v>
      </c>
      <c r="H467" t="s">
        <v>91</v>
      </c>
      <c r="I467">
        <v>20</v>
      </c>
      <c r="J467">
        <v>0</v>
      </c>
      <c r="K467">
        <v>8</v>
      </c>
      <c r="L467" t="s">
        <v>116</v>
      </c>
      <c r="M467">
        <v>4</v>
      </c>
      <c r="N467">
        <v>1</v>
      </c>
      <c r="O467" t="s">
        <v>15</v>
      </c>
      <c r="P467">
        <v>1</v>
      </c>
      <c r="Q467" t="s">
        <v>90</v>
      </c>
      <c r="R467" t="s">
        <v>93</v>
      </c>
    </row>
    <row r="468" spans="1:18">
      <c r="A468">
        <v>1677</v>
      </c>
      <c r="B468" t="s">
        <v>88</v>
      </c>
      <c r="C468">
        <v>27</v>
      </c>
      <c r="D468">
        <v>9</v>
      </c>
      <c r="E468" t="s">
        <v>89</v>
      </c>
      <c r="F468" t="s">
        <v>90</v>
      </c>
      <c r="G468" t="s">
        <v>15</v>
      </c>
      <c r="H468" t="s">
        <v>91</v>
      </c>
      <c r="I468">
        <v>20</v>
      </c>
      <c r="J468">
        <v>0</v>
      </c>
      <c r="K468">
        <v>8</v>
      </c>
      <c r="L468" t="s">
        <v>116</v>
      </c>
      <c r="M468">
        <v>4</v>
      </c>
      <c r="N468">
        <v>1</v>
      </c>
      <c r="O468" t="s">
        <v>15</v>
      </c>
      <c r="P468">
        <v>1</v>
      </c>
      <c r="Q468" t="s">
        <v>90</v>
      </c>
      <c r="R468" t="s">
        <v>93</v>
      </c>
    </row>
    <row r="469" spans="1:18">
      <c r="A469">
        <v>1678</v>
      </c>
      <c r="B469" t="s">
        <v>88</v>
      </c>
      <c r="C469">
        <v>28</v>
      </c>
      <c r="D469">
        <v>10</v>
      </c>
      <c r="E469" t="s">
        <v>94</v>
      </c>
      <c r="F469" t="s">
        <v>90</v>
      </c>
      <c r="G469" t="s">
        <v>15</v>
      </c>
      <c r="H469" t="s">
        <v>91</v>
      </c>
      <c r="I469">
        <v>20</v>
      </c>
      <c r="J469">
        <v>0</v>
      </c>
      <c r="K469">
        <v>8</v>
      </c>
      <c r="L469" t="s">
        <v>116</v>
      </c>
      <c r="M469">
        <v>4</v>
      </c>
      <c r="N469">
        <v>1</v>
      </c>
      <c r="O469" t="s">
        <v>15</v>
      </c>
      <c r="P469">
        <v>1</v>
      </c>
      <c r="Q469" t="s">
        <v>90</v>
      </c>
      <c r="R469" t="s">
        <v>93</v>
      </c>
    </row>
    <row r="470" spans="1:18">
      <c r="A470">
        <v>1679</v>
      </c>
      <c r="B470" t="s">
        <v>88</v>
      </c>
      <c r="C470">
        <v>29</v>
      </c>
      <c r="D470">
        <v>9</v>
      </c>
      <c r="E470" t="s">
        <v>89</v>
      </c>
      <c r="F470" t="s">
        <v>90</v>
      </c>
      <c r="G470" t="s">
        <v>15</v>
      </c>
      <c r="H470" t="s">
        <v>91</v>
      </c>
      <c r="I470">
        <v>20</v>
      </c>
      <c r="J470">
        <v>0</v>
      </c>
      <c r="K470">
        <v>8</v>
      </c>
      <c r="L470" t="s">
        <v>116</v>
      </c>
      <c r="M470">
        <v>4</v>
      </c>
      <c r="N470">
        <v>1</v>
      </c>
      <c r="O470" t="s">
        <v>15</v>
      </c>
      <c r="P470">
        <v>1</v>
      </c>
      <c r="Q470" t="s">
        <v>90</v>
      </c>
      <c r="R470" t="s">
        <v>93</v>
      </c>
    </row>
    <row r="471" spans="1:18">
      <c r="A471">
        <v>1680</v>
      </c>
      <c r="B471" t="s">
        <v>88</v>
      </c>
      <c r="C471">
        <v>30</v>
      </c>
      <c r="D471">
        <v>10</v>
      </c>
      <c r="E471" t="s">
        <v>94</v>
      </c>
      <c r="F471" t="s">
        <v>90</v>
      </c>
      <c r="G471" t="s">
        <v>15</v>
      </c>
      <c r="H471" t="s">
        <v>91</v>
      </c>
      <c r="I471">
        <v>20</v>
      </c>
      <c r="J471">
        <v>0</v>
      </c>
      <c r="K471">
        <v>8</v>
      </c>
      <c r="L471" t="s">
        <v>116</v>
      </c>
      <c r="M471">
        <v>4</v>
      </c>
      <c r="N471">
        <v>1</v>
      </c>
      <c r="O471" t="s">
        <v>15</v>
      </c>
      <c r="P471">
        <v>1</v>
      </c>
      <c r="Q471" t="s">
        <v>90</v>
      </c>
      <c r="R471" t="s">
        <v>93</v>
      </c>
    </row>
    <row r="472" spans="1:18">
      <c r="A472">
        <v>1681</v>
      </c>
      <c r="B472" t="s">
        <v>88</v>
      </c>
      <c r="C472">
        <v>31</v>
      </c>
      <c r="D472">
        <v>12</v>
      </c>
      <c r="E472" t="s">
        <v>96</v>
      </c>
      <c r="F472" t="s">
        <v>90</v>
      </c>
      <c r="G472" t="s">
        <v>15</v>
      </c>
      <c r="H472" t="s">
        <v>91</v>
      </c>
      <c r="I472">
        <v>20</v>
      </c>
      <c r="J472">
        <v>0</v>
      </c>
      <c r="K472">
        <v>8</v>
      </c>
      <c r="L472" t="s">
        <v>116</v>
      </c>
      <c r="M472">
        <v>4</v>
      </c>
      <c r="N472">
        <v>1</v>
      </c>
      <c r="O472" t="s">
        <v>15</v>
      </c>
      <c r="P472">
        <v>1</v>
      </c>
      <c r="Q472" t="s">
        <v>90</v>
      </c>
      <c r="R472" t="s">
        <v>93</v>
      </c>
    </row>
    <row r="473" spans="1:18">
      <c r="A473">
        <v>1682</v>
      </c>
      <c r="B473" t="s">
        <v>88</v>
      </c>
      <c r="C473">
        <v>32</v>
      </c>
      <c r="D473">
        <v>12</v>
      </c>
      <c r="E473" t="s">
        <v>96</v>
      </c>
      <c r="F473" t="s">
        <v>90</v>
      </c>
      <c r="G473" t="s">
        <v>15</v>
      </c>
      <c r="H473" t="s">
        <v>91</v>
      </c>
      <c r="I473">
        <v>20</v>
      </c>
      <c r="J473">
        <v>0</v>
      </c>
      <c r="K473">
        <v>8</v>
      </c>
      <c r="L473" t="s">
        <v>116</v>
      </c>
      <c r="M473">
        <v>4</v>
      </c>
      <c r="N473">
        <v>1</v>
      </c>
      <c r="O473" t="s">
        <v>15</v>
      </c>
      <c r="P473">
        <v>1</v>
      </c>
      <c r="Q473" t="s">
        <v>90</v>
      </c>
      <c r="R473" t="s">
        <v>93</v>
      </c>
    </row>
    <row r="474" spans="1:18">
      <c r="A474">
        <v>1683</v>
      </c>
      <c r="B474" t="s">
        <v>88</v>
      </c>
      <c r="C474">
        <v>33</v>
      </c>
      <c r="D474">
        <v>12</v>
      </c>
      <c r="E474" t="s">
        <v>96</v>
      </c>
      <c r="F474" t="s">
        <v>90</v>
      </c>
      <c r="G474" t="s">
        <v>15</v>
      </c>
      <c r="H474" t="s">
        <v>91</v>
      </c>
      <c r="I474">
        <v>20</v>
      </c>
      <c r="J474">
        <v>0</v>
      </c>
      <c r="K474">
        <v>8</v>
      </c>
      <c r="L474" t="s">
        <v>116</v>
      </c>
      <c r="M474">
        <v>4</v>
      </c>
      <c r="N474">
        <v>1</v>
      </c>
      <c r="O474" t="s">
        <v>15</v>
      </c>
      <c r="P474">
        <v>1</v>
      </c>
      <c r="Q474" t="s">
        <v>90</v>
      </c>
      <c r="R474" t="s">
        <v>93</v>
      </c>
    </row>
    <row r="475" spans="1:18">
      <c r="A475">
        <v>1684</v>
      </c>
      <c r="B475" t="s">
        <v>88</v>
      </c>
      <c r="C475">
        <v>34</v>
      </c>
      <c r="D475">
        <v>12</v>
      </c>
      <c r="E475" t="s">
        <v>96</v>
      </c>
      <c r="F475" t="s">
        <v>90</v>
      </c>
      <c r="G475" t="s">
        <v>15</v>
      </c>
      <c r="H475" t="s">
        <v>91</v>
      </c>
      <c r="I475">
        <v>20</v>
      </c>
      <c r="J475">
        <v>0</v>
      </c>
      <c r="K475">
        <v>8</v>
      </c>
      <c r="L475" t="s">
        <v>116</v>
      </c>
      <c r="M475">
        <v>4</v>
      </c>
      <c r="N475">
        <v>1</v>
      </c>
      <c r="O475" t="s">
        <v>15</v>
      </c>
      <c r="P475">
        <v>1</v>
      </c>
      <c r="Q475" t="s">
        <v>90</v>
      </c>
      <c r="R475" t="s">
        <v>93</v>
      </c>
    </row>
    <row r="476" spans="1:18">
      <c r="A476">
        <v>1685</v>
      </c>
      <c r="B476" t="s">
        <v>88</v>
      </c>
      <c r="C476">
        <v>35</v>
      </c>
      <c r="D476">
        <v>12</v>
      </c>
      <c r="E476" t="s">
        <v>96</v>
      </c>
      <c r="F476" t="s">
        <v>90</v>
      </c>
      <c r="G476" t="s">
        <v>15</v>
      </c>
      <c r="H476" t="s">
        <v>91</v>
      </c>
      <c r="I476">
        <v>20</v>
      </c>
      <c r="J476">
        <v>0</v>
      </c>
      <c r="K476">
        <v>8</v>
      </c>
      <c r="L476" t="s">
        <v>116</v>
      </c>
      <c r="M476">
        <v>4</v>
      </c>
      <c r="N476">
        <v>1</v>
      </c>
      <c r="O476" t="s">
        <v>15</v>
      </c>
      <c r="P476">
        <v>1</v>
      </c>
      <c r="Q476" t="s">
        <v>90</v>
      </c>
      <c r="R476" t="s">
        <v>93</v>
      </c>
    </row>
    <row r="477" spans="1:18">
      <c r="A477">
        <v>1686</v>
      </c>
      <c r="B477" t="s">
        <v>88</v>
      </c>
      <c r="C477">
        <v>36</v>
      </c>
      <c r="D477">
        <v>12</v>
      </c>
      <c r="E477" t="s">
        <v>96</v>
      </c>
      <c r="F477" t="s">
        <v>90</v>
      </c>
      <c r="G477" t="s">
        <v>15</v>
      </c>
      <c r="H477" t="s">
        <v>91</v>
      </c>
      <c r="I477">
        <v>20</v>
      </c>
      <c r="J477">
        <v>0</v>
      </c>
      <c r="K477">
        <v>8</v>
      </c>
      <c r="L477" t="s">
        <v>116</v>
      </c>
      <c r="M477">
        <v>4</v>
      </c>
      <c r="N477">
        <v>1</v>
      </c>
      <c r="O477" t="s">
        <v>15</v>
      </c>
      <c r="P477">
        <v>1</v>
      </c>
      <c r="Q477" t="s">
        <v>90</v>
      </c>
      <c r="R477" t="s">
        <v>93</v>
      </c>
    </row>
    <row r="478" spans="1:18">
      <c r="A478">
        <v>1687</v>
      </c>
      <c r="B478" t="s">
        <v>88</v>
      </c>
      <c r="C478">
        <v>37</v>
      </c>
      <c r="D478">
        <v>12</v>
      </c>
      <c r="E478" t="s">
        <v>96</v>
      </c>
      <c r="F478" t="s">
        <v>90</v>
      </c>
      <c r="G478" t="s">
        <v>15</v>
      </c>
      <c r="H478" t="s">
        <v>91</v>
      </c>
      <c r="I478">
        <v>20</v>
      </c>
      <c r="J478">
        <v>0</v>
      </c>
      <c r="K478">
        <v>8</v>
      </c>
      <c r="L478" t="s">
        <v>116</v>
      </c>
      <c r="M478">
        <v>4</v>
      </c>
      <c r="N478">
        <v>1</v>
      </c>
      <c r="O478" t="s">
        <v>15</v>
      </c>
      <c r="P478">
        <v>1</v>
      </c>
      <c r="Q478" t="s">
        <v>90</v>
      </c>
      <c r="R478" t="s">
        <v>93</v>
      </c>
    </row>
    <row r="479" spans="1:18">
      <c r="A479">
        <v>1688</v>
      </c>
      <c r="B479" t="s">
        <v>88</v>
      </c>
      <c r="C479">
        <v>38</v>
      </c>
      <c r="D479">
        <v>12</v>
      </c>
      <c r="E479" t="s">
        <v>96</v>
      </c>
      <c r="F479" t="s">
        <v>90</v>
      </c>
      <c r="G479" t="s">
        <v>15</v>
      </c>
      <c r="H479" t="s">
        <v>91</v>
      </c>
      <c r="I479">
        <v>20</v>
      </c>
      <c r="J479">
        <v>0</v>
      </c>
      <c r="K479">
        <v>8</v>
      </c>
      <c r="L479" t="s">
        <v>116</v>
      </c>
      <c r="M479">
        <v>4</v>
      </c>
      <c r="N479">
        <v>1</v>
      </c>
      <c r="O479" t="s">
        <v>15</v>
      </c>
      <c r="P479">
        <v>1</v>
      </c>
      <c r="Q479" t="s">
        <v>90</v>
      </c>
      <c r="R479" t="s">
        <v>93</v>
      </c>
    </row>
    <row r="480" spans="1:18">
      <c r="A480">
        <v>1689</v>
      </c>
      <c r="B480" t="s">
        <v>88</v>
      </c>
      <c r="C480">
        <v>39</v>
      </c>
      <c r="D480">
        <v>12</v>
      </c>
      <c r="E480" t="s">
        <v>96</v>
      </c>
      <c r="F480" t="s">
        <v>90</v>
      </c>
      <c r="G480" t="s">
        <v>15</v>
      </c>
      <c r="H480" t="s">
        <v>91</v>
      </c>
      <c r="I480">
        <v>20</v>
      </c>
      <c r="J480">
        <v>0</v>
      </c>
      <c r="K480">
        <v>8</v>
      </c>
      <c r="L480" t="s">
        <v>116</v>
      </c>
      <c r="M480">
        <v>4</v>
      </c>
      <c r="N480">
        <v>1</v>
      </c>
      <c r="O480" t="s">
        <v>15</v>
      </c>
      <c r="P480">
        <v>1</v>
      </c>
      <c r="Q480" t="s">
        <v>90</v>
      </c>
      <c r="R480" t="s">
        <v>93</v>
      </c>
    </row>
    <row r="481" spans="1:18">
      <c r="A481">
        <v>1690</v>
      </c>
      <c r="B481" t="s">
        <v>88</v>
      </c>
      <c r="C481">
        <v>40</v>
      </c>
      <c r="D481">
        <v>12</v>
      </c>
      <c r="E481" t="s">
        <v>96</v>
      </c>
      <c r="F481" t="s">
        <v>90</v>
      </c>
      <c r="G481" t="s">
        <v>15</v>
      </c>
      <c r="H481" t="s">
        <v>91</v>
      </c>
      <c r="I481">
        <v>20</v>
      </c>
      <c r="J481">
        <v>0</v>
      </c>
      <c r="K481">
        <v>8</v>
      </c>
      <c r="L481" t="s">
        <v>116</v>
      </c>
      <c r="M481">
        <v>4</v>
      </c>
      <c r="N481">
        <v>1</v>
      </c>
      <c r="O481" t="s">
        <v>15</v>
      </c>
      <c r="P481">
        <v>1</v>
      </c>
      <c r="Q481" t="s">
        <v>90</v>
      </c>
      <c r="R481" t="s">
        <v>93</v>
      </c>
    </row>
    <row r="482" spans="1:18">
      <c r="A482">
        <v>1691</v>
      </c>
      <c r="B482" t="s">
        <v>97</v>
      </c>
      <c r="C482">
        <v>1</v>
      </c>
      <c r="D482">
        <v>9</v>
      </c>
      <c r="E482" t="s">
        <v>89</v>
      </c>
      <c r="F482" t="s">
        <v>90</v>
      </c>
      <c r="G482" t="s">
        <v>15</v>
      </c>
      <c r="H482" t="s">
        <v>91</v>
      </c>
      <c r="I482">
        <v>20</v>
      </c>
      <c r="J482">
        <v>0</v>
      </c>
      <c r="K482">
        <v>8</v>
      </c>
      <c r="L482" t="s">
        <v>116</v>
      </c>
      <c r="M482">
        <v>15</v>
      </c>
      <c r="N482">
        <v>1</v>
      </c>
      <c r="O482" t="s">
        <v>15</v>
      </c>
      <c r="P482">
        <v>1</v>
      </c>
      <c r="Q482" t="s">
        <v>90</v>
      </c>
      <c r="R482" t="s">
        <v>98</v>
      </c>
    </row>
    <row r="483" spans="1:18">
      <c r="A483">
        <v>1692</v>
      </c>
      <c r="B483" t="s">
        <v>97</v>
      </c>
      <c r="C483">
        <v>2</v>
      </c>
      <c r="D483">
        <v>10</v>
      </c>
      <c r="E483" t="s">
        <v>94</v>
      </c>
      <c r="F483" t="s">
        <v>90</v>
      </c>
      <c r="G483" t="s">
        <v>15</v>
      </c>
      <c r="H483" t="s">
        <v>91</v>
      </c>
      <c r="I483">
        <v>20</v>
      </c>
      <c r="J483">
        <v>0</v>
      </c>
      <c r="K483">
        <v>8</v>
      </c>
      <c r="L483" t="s">
        <v>116</v>
      </c>
      <c r="M483">
        <v>15</v>
      </c>
      <c r="N483">
        <v>1</v>
      </c>
      <c r="O483" t="s">
        <v>15</v>
      </c>
      <c r="P483">
        <v>1</v>
      </c>
      <c r="Q483" t="s">
        <v>90</v>
      </c>
      <c r="R483" t="s">
        <v>98</v>
      </c>
    </row>
    <row r="484" spans="1:18">
      <c r="A484">
        <v>1693</v>
      </c>
      <c r="B484" t="s">
        <v>97</v>
      </c>
      <c r="C484">
        <v>3</v>
      </c>
      <c r="D484">
        <v>9</v>
      </c>
      <c r="E484" t="s">
        <v>89</v>
      </c>
      <c r="F484" t="s">
        <v>90</v>
      </c>
      <c r="G484" t="s">
        <v>15</v>
      </c>
      <c r="H484" t="s">
        <v>91</v>
      </c>
      <c r="I484">
        <v>20</v>
      </c>
      <c r="J484">
        <v>0</v>
      </c>
      <c r="K484">
        <v>8</v>
      </c>
      <c r="L484" t="s">
        <v>116</v>
      </c>
      <c r="M484">
        <v>15</v>
      </c>
      <c r="N484">
        <v>1</v>
      </c>
      <c r="O484" t="s">
        <v>15</v>
      </c>
      <c r="P484">
        <v>1</v>
      </c>
      <c r="Q484" t="s">
        <v>90</v>
      </c>
      <c r="R484" t="s">
        <v>98</v>
      </c>
    </row>
    <row r="485" spans="1:18">
      <c r="A485">
        <v>1694</v>
      </c>
      <c r="B485" t="s">
        <v>97</v>
      </c>
      <c r="C485">
        <v>4</v>
      </c>
      <c r="D485">
        <v>9</v>
      </c>
      <c r="E485" t="s">
        <v>89</v>
      </c>
      <c r="F485" t="s">
        <v>90</v>
      </c>
      <c r="G485" t="s">
        <v>15</v>
      </c>
      <c r="H485" t="s">
        <v>91</v>
      </c>
      <c r="I485">
        <v>20</v>
      </c>
      <c r="J485">
        <v>0</v>
      </c>
      <c r="K485">
        <v>8</v>
      </c>
      <c r="L485" t="s">
        <v>116</v>
      </c>
      <c r="M485">
        <v>15</v>
      </c>
      <c r="N485">
        <v>1</v>
      </c>
      <c r="O485" t="s">
        <v>15</v>
      </c>
      <c r="P485">
        <v>1</v>
      </c>
      <c r="Q485" t="s">
        <v>90</v>
      </c>
      <c r="R485" t="s">
        <v>98</v>
      </c>
    </row>
    <row r="486" spans="1:18">
      <c r="A486">
        <v>1695</v>
      </c>
      <c r="B486" t="s">
        <v>97</v>
      </c>
      <c r="C486">
        <v>5</v>
      </c>
      <c r="D486">
        <v>9</v>
      </c>
      <c r="E486" t="s">
        <v>89</v>
      </c>
      <c r="F486" t="s">
        <v>90</v>
      </c>
      <c r="G486" t="s">
        <v>15</v>
      </c>
      <c r="H486" t="s">
        <v>91</v>
      </c>
      <c r="I486">
        <v>20</v>
      </c>
      <c r="J486">
        <v>0</v>
      </c>
      <c r="K486">
        <v>8</v>
      </c>
      <c r="L486" t="s">
        <v>116</v>
      </c>
      <c r="M486">
        <v>15</v>
      </c>
      <c r="N486">
        <v>1</v>
      </c>
      <c r="O486" t="s">
        <v>15</v>
      </c>
      <c r="P486">
        <v>1</v>
      </c>
      <c r="Q486" t="s">
        <v>90</v>
      </c>
      <c r="R486" t="s">
        <v>98</v>
      </c>
    </row>
    <row r="487" spans="1:18">
      <c r="A487">
        <v>1696</v>
      </c>
      <c r="B487" t="s">
        <v>97</v>
      </c>
      <c r="C487">
        <v>6</v>
      </c>
      <c r="D487">
        <v>10</v>
      </c>
      <c r="E487" t="s">
        <v>94</v>
      </c>
      <c r="F487" t="s">
        <v>90</v>
      </c>
      <c r="G487" t="s">
        <v>15</v>
      </c>
      <c r="H487" t="s">
        <v>91</v>
      </c>
      <c r="I487">
        <v>20</v>
      </c>
      <c r="J487">
        <v>0</v>
      </c>
      <c r="K487">
        <v>8</v>
      </c>
      <c r="L487" t="s">
        <v>116</v>
      </c>
      <c r="M487">
        <v>15</v>
      </c>
      <c r="N487">
        <v>1</v>
      </c>
      <c r="O487" t="s">
        <v>15</v>
      </c>
      <c r="P487">
        <v>1</v>
      </c>
      <c r="Q487" t="s">
        <v>90</v>
      </c>
      <c r="R487" t="s">
        <v>98</v>
      </c>
    </row>
    <row r="488" spans="1:18">
      <c r="A488">
        <v>1697</v>
      </c>
      <c r="B488" t="s">
        <v>97</v>
      </c>
      <c r="C488">
        <v>7</v>
      </c>
      <c r="D488">
        <v>10</v>
      </c>
      <c r="E488" t="s">
        <v>94</v>
      </c>
      <c r="F488" t="s">
        <v>90</v>
      </c>
      <c r="G488" t="s">
        <v>15</v>
      </c>
      <c r="H488" t="s">
        <v>91</v>
      </c>
      <c r="I488">
        <v>20</v>
      </c>
      <c r="J488">
        <v>0</v>
      </c>
      <c r="K488">
        <v>8</v>
      </c>
      <c r="L488" t="s">
        <v>116</v>
      </c>
      <c r="M488">
        <v>15</v>
      </c>
      <c r="N488">
        <v>1</v>
      </c>
      <c r="O488" t="s">
        <v>15</v>
      </c>
      <c r="P488">
        <v>1</v>
      </c>
      <c r="Q488" t="s">
        <v>90</v>
      </c>
      <c r="R488" t="s">
        <v>98</v>
      </c>
    </row>
    <row r="489" spans="1:18">
      <c r="A489">
        <v>1698</v>
      </c>
      <c r="B489" t="s">
        <v>97</v>
      </c>
      <c r="C489">
        <v>8</v>
      </c>
      <c r="D489">
        <v>10</v>
      </c>
      <c r="E489" t="s">
        <v>94</v>
      </c>
      <c r="F489" t="s">
        <v>90</v>
      </c>
      <c r="G489" t="s">
        <v>15</v>
      </c>
      <c r="H489" t="s">
        <v>91</v>
      </c>
      <c r="I489">
        <v>20</v>
      </c>
      <c r="J489">
        <v>0</v>
      </c>
      <c r="K489">
        <v>8</v>
      </c>
      <c r="L489" t="s">
        <v>116</v>
      </c>
      <c r="M489">
        <v>15</v>
      </c>
      <c r="N489">
        <v>1</v>
      </c>
      <c r="O489" t="s">
        <v>15</v>
      </c>
      <c r="P489">
        <v>1</v>
      </c>
      <c r="Q489" t="s">
        <v>90</v>
      </c>
      <c r="R489" t="s">
        <v>98</v>
      </c>
    </row>
    <row r="490" spans="1:18">
      <c r="A490">
        <v>1699</v>
      </c>
      <c r="B490" t="s">
        <v>97</v>
      </c>
      <c r="C490">
        <v>9</v>
      </c>
      <c r="D490">
        <v>10</v>
      </c>
      <c r="E490" t="s">
        <v>94</v>
      </c>
      <c r="F490" t="s">
        <v>90</v>
      </c>
      <c r="G490" t="s">
        <v>15</v>
      </c>
      <c r="H490" t="s">
        <v>91</v>
      </c>
      <c r="I490">
        <v>20</v>
      </c>
      <c r="J490">
        <v>0</v>
      </c>
      <c r="K490">
        <v>8</v>
      </c>
      <c r="L490" t="s">
        <v>116</v>
      </c>
      <c r="M490">
        <v>15</v>
      </c>
      <c r="N490">
        <v>1</v>
      </c>
      <c r="O490" t="s">
        <v>15</v>
      </c>
      <c r="P490">
        <v>1</v>
      </c>
      <c r="Q490" t="s">
        <v>90</v>
      </c>
      <c r="R490" t="s">
        <v>98</v>
      </c>
    </row>
    <row r="491" spans="1:18">
      <c r="A491">
        <v>1700</v>
      </c>
      <c r="B491" t="s">
        <v>97</v>
      </c>
      <c r="C491">
        <v>10</v>
      </c>
      <c r="D491">
        <v>9</v>
      </c>
      <c r="E491" t="s">
        <v>89</v>
      </c>
      <c r="F491" t="s">
        <v>90</v>
      </c>
      <c r="G491" t="s">
        <v>15</v>
      </c>
      <c r="H491" t="s">
        <v>91</v>
      </c>
      <c r="I491">
        <v>20</v>
      </c>
      <c r="J491">
        <v>0</v>
      </c>
      <c r="K491">
        <v>8</v>
      </c>
      <c r="L491" t="s">
        <v>116</v>
      </c>
      <c r="M491">
        <v>15</v>
      </c>
      <c r="N491">
        <v>1</v>
      </c>
      <c r="O491" t="s">
        <v>15</v>
      </c>
      <c r="P491">
        <v>1</v>
      </c>
      <c r="Q491" t="s">
        <v>90</v>
      </c>
      <c r="R491" t="s">
        <v>98</v>
      </c>
    </row>
    <row r="492" spans="1:18">
      <c r="A492">
        <v>1701</v>
      </c>
      <c r="B492" t="s">
        <v>97</v>
      </c>
      <c r="C492">
        <v>11</v>
      </c>
      <c r="D492">
        <v>11</v>
      </c>
      <c r="E492" t="s">
        <v>95</v>
      </c>
      <c r="F492" t="s">
        <v>90</v>
      </c>
      <c r="G492" t="s">
        <v>15</v>
      </c>
      <c r="H492" t="s">
        <v>91</v>
      </c>
      <c r="I492">
        <v>20</v>
      </c>
      <c r="J492">
        <v>0</v>
      </c>
      <c r="K492">
        <v>8</v>
      </c>
      <c r="L492" t="s">
        <v>116</v>
      </c>
      <c r="M492">
        <v>15</v>
      </c>
      <c r="N492">
        <v>1</v>
      </c>
      <c r="O492" t="s">
        <v>15</v>
      </c>
      <c r="P492">
        <v>1</v>
      </c>
      <c r="Q492" t="s">
        <v>90</v>
      </c>
      <c r="R492" t="s">
        <v>98</v>
      </c>
    </row>
    <row r="493" spans="1:18">
      <c r="A493">
        <v>1702</v>
      </c>
      <c r="B493" t="s">
        <v>97</v>
      </c>
      <c r="C493">
        <v>12</v>
      </c>
      <c r="D493">
        <v>11</v>
      </c>
      <c r="E493" t="s">
        <v>95</v>
      </c>
      <c r="F493" t="s">
        <v>90</v>
      </c>
      <c r="G493" t="s">
        <v>15</v>
      </c>
      <c r="H493" t="s">
        <v>91</v>
      </c>
      <c r="I493">
        <v>20</v>
      </c>
      <c r="J493">
        <v>0</v>
      </c>
      <c r="K493">
        <v>8</v>
      </c>
      <c r="L493" t="s">
        <v>116</v>
      </c>
      <c r="M493">
        <v>15</v>
      </c>
      <c r="N493">
        <v>1</v>
      </c>
      <c r="O493" t="s">
        <v>15</v>
      </c>
      <c r="P493">
        <v>1</v>
      </c>
      <c r="Q493" t="s">
        <v>90</v>
      </c>
      <c r="R493" t="s">
        <v>98</v>
      </c>
    </row>
    <row r="494" spans="1:18">
      <c r="A494">
        <v>1703</v>
      </c>
      <c r="B494" t="s">
        <v>97</v>
      </c>
      <c r="C494">
        <v>13</v>
      </c>
      <c r="D494">
        <v>11</v>
      </c>
      <c r="E494" t="s">
        <v>95</v>
      </c>
      <c r="F494" t="s">
        <v>90</v>
      </c>
      <c r="G494" t="s">
        <v>15</v>
      </c>
      <c r="H494" t="s">
        <v>91</v>
      </c>
      <c r="I494">
        <v>20</v>
      </c>
      <c r="J494">
        <v>0</v>
      </c>
      <c r="K494">
        <v>8</v>
      </c>
      <c r="L494" t="s">
        <v>116</v>
      </c>
      <c r="M494">
        <v>15</v>
      </c>
      <c r="N494">
        <v>1</v>
      </c>
      <c r="O494" t="s">
        <v>15</v>
      </c>
      <c r="P494">
        <v>1</v>
      </c>
      <c r="Q494" t="s">
        <v>90</v>
      </c>
      <c r="R494" t="s">
        <v>98</v>
      </c>
    </row>
    <row r="495" spans="1:18">
      <c r="A495">
        <v>1704</v>
      </c>
      <c r="B495" t="s">
        <v>97</v>
      </c>
      <c r="C495">
        <v>14</v>
      </c>
      <c r="D495">
        <v>11</v>
      </c>
      <c r="E495" t="s">
        <v>95</v>
      </c>
      <c r="F495" t="s">
        <v>90</v>
      </c>
      <c r="G495" t="s">
        <v>15</v>
      </c>
      <c r="H495" t="s">
        <v>91</v>
      </c>
      <c r="I495">
        <v>20</v>
      </c>
      <c r="J495">
        <v>0</v>
      </c>
      <c r="K495">
        <v>8</v>
      </c>
      <c r="L495" t="s">
        <v>116</v>
      </c>
      <c r="M495">
        <v>15</v>
      </c>
      <c r="N495">
        <v>1</v>
      </c>
      <c r="O495" t="s">
        <v>15</v>
      </c>
      <c r="P495">
        <v>1</v>
      </c>
      <c r="Q495" t="s">
        <v>90</v>
      </c>
      <c r="R495" t="s">
        <v>98</v>
      </c>
    </row>
    <row r="496" spans="1:18">
      <c r="A496">
        <v>1705</v>
      </c>
      <c r="B496" t="s">
        <v>97</v>
      </c>
      <c r="C496">
        <v>15</v>
      </c>
      <c r="D496">
        <v>11</v>
      </c>
      <c r="E496" t="s">
        <v>95</v>
      </c>
      <c r="F496" t="s">
        <v>90</v>
      </c>
      <c r="G496" t="s">
        <v>15</v>
      </c>
      <c r="H496" t="s">
        <v>91</v>
      </c>
      <c r="I496">
        <v>20</v>
      </c>
      <c r="J496">
        <v>0</v>
      </c>
      <c r="K496">
        <v>8</v>
      </c>
      <c r="L496" t="s">
        <v>116</v>
      </c>
      <c r="M496">
        <v>15</v>
      </c>
      <c r="N496">
        <v>1</v>
      </c>
      <c r="O496" t="s">
        <v>15</v>
      </c>
      <c r="P496">
        <v>1</v>
      </c>
      <c r="Q496" t="s">
        <v>90</v>
      </c>
      <c r="R496" t="s">
        <v>98</v>
      </c>
    </row>
    <row r="497" spans="1:18">
      <c r="A497">
        <v>1706</v>
      </c>
      <c r="B497" t="s">
        <v>97</v>
      </c>
      <c r="C497">
        <v>16</v>
      </c>
      <c r="D497">
        <v>11</v>
      </c>
      <c r="E497" t="s">
        <v>95</v>
      </c>
      <c r="F497" t="s">
        <v>90</v>
      </c>
      <c r="G497" t="s">
        <v>15</v>
      </c>
      <c r="H497" t="s">
        <v>91</v>
      </c>
      <c r="I497">
        <v>20</v>
      </c>
      <c r="J497">
        <v>0</v>
      </c>
      <c r="K497">
        <v>8</v>
      </c>
      <c r="L497" t="s">
        <v>116</v>
      </c>
      <c r="M497">
        <v>15</v>
      </c>
      <c r="N497">
        <v>1</v>
      </c>
      <c r="O497" t="s">
        <v>15</v>
      </c>
      <c r="P497">
        <v>1</v>
      </c>
      <c r="Q497" t="s">
        <v>90</v>
      </c>
      <c r="R497" t="s">
        <v>98</v>
      </c>
    </row>
    <row r="498" spans="1:18">
      <c r="A498">
        <v>1707</v>
      </c>
      <c r="B498" t="s">
        <v>97</v>
      </c>
      <c r="C498">
        <v>17</v>
      </c>
      <c r="D498">
        <v>11</v>
      </c>
      <c r="E498" t="s">
        <v>95</v>
      </c>
      <c r="F498" t="s">
        <v>90</v>
      </c>
      <c r="G498" t="s">
        <v>15</v>
      </c>
      <c r="H498" t="s">
        <v>91</v>
      </c>
      <c r="I498">
        <v>20</v>
      </c>
      <c r="J498">
        <v>0</v>
      </c>
      <c r="K498">
        <v>8</v>
      </c>
      <c r="L498" t="s">
        <v>116</v>
      </c>
      <c r="M498">
        <v>15</v>
      </c>
      <c r="N498">
        <v>1</v>
      </c>
      <c r="O498" t="s">
        <v>15</v>
      </c>
      <c r="P498">
        <v>1</v>
      </c>
      <c r="Q498" t="s">
        <v>90</v>
      </c>
      <c r="R498" t="s">
        <v>98</v>
      </c>
    </row>
    <row r="499" spans="1:18">
      <c r="A499">
        <v>1708</v>
      </c>
      <c r="B499" t="s">
        <v>97</v>
      </c>
      <c r="C499">
        <v>18</v>
      </c>
      <c r="D499">
        <v>11</v>
      </c>
      <c r="E499" t="s">
        <v>95</v>
      </c>
      <c r="F499" t="s">
        <v>90</v>
      </c>
      <c r="G499" t="s">
        <v>15</v>
      </c>
      <c r="H499" t="s">
        <v>91</v>
      </c>
      <c r="I499">
        <v>20</v>
      </c>
      <c r="J499">
        <v>0</v>
      </c>
      <c r="K499">
        <v>8</v>
      </c>
      <c r="L499" t="s">
        <v>116</v>
      </c>
      <c r="M499">
        <v>15</v>
      </c>
      <c r="N499">
        <v>1</v>
      </c>
      <c r="O499" t="s">
        <v>15</v>
      </c>
      <c r="P499">
        <v>1</v>
      </c>
      <c r="Q499" t="s">
        <v>90</v>
      </c>
      <c r="R499" t="s">
        <v>98</v>
      </c>
    </row>
    <row r="500" spans="1:18">
      <c r="A500">
        <v>1709</v>
      </c>
      <c r="B500" t="s">
        <v>97</v>
      </c>
      <c r="C500">
        <v>19</v>
      </c>
      <c r="D500">
        <v>11</v>
      </c>
      <c r="E500" t="s">
        <v>95</v>
      </c>
      <c r="F500" t="s">
        <v>90</v>
      </c>
      <c r="G500" t="s">
        <v>15</v>
      </c>
      <c r="H500" t="s">
        <v>91</v>
      </c>
      <c r="I500">
        <v>20</v>
      </c>
      <c r="J500">
        <v>0</v>
      </c>
      <c r="K500">
        <v>8</v>
      </c>
      <c r="L500" t="s">
        <v>116</v>
      </c>
      <c r="M500">
        <v>15</v>
      </c>
      <c r="N500">
        <v>1</v>
      </c>
      <c r="O500" t="s">
        <v>15</v>
      </c>
      <c r="P500">
        <v>1</v>
      </c>
      <c r="Q500" t="s">
        <v>90</v>
      </c>
      <c r="R500" t="s">
        <v>98</v>
      </c>
    </row>
    <row r="501" spans="1:18">
      <c r="A501">
        <v>1710</v>
      </c>
      <c r="B501" t="s">
        <v>97</v>
      </c>
      <c r="C501">
        <v>20</v>
      </c>
      <c r="D501">
        <v>11</v>
      </c>
      <c r="E501" t="s">
        <v>95</v>
      </c>
      <c r="F501" t="s">
        <v>90</v>
      </c>
      <c r="G501" t="s">
        <v>15</v>
      </c>
      <c r="H501" t="s">
        <v>91</v>
      </c>
      <c r="I501">
        <v>20</v>
      </c>
      <c r="J501">
        <v>0</v>
      </c>
      <c r="K501">
        <v>8</v>
      </c>
      <c r="L501" t="s">
        <v>116</v>
      </c>
      <c r="M501">
        <v>15</v>
      </c>
      <c r="N501">
        <v>1</v>
      </c>
      <c r="O501" t="s">
        <v>15</v>
      </c>
      <c r="P501">
        <v>1</v>
      </c>
      <c r="Q501" t="s">
        <v>90</v>
      </c>
      <c r="R501" t="s">
        <v>98</v>
      </c>
    </row>
    <row r="502" spans="1:18">
      <c r="A502">
        <v>1711</v>
      </c>
      <c r="B502" t="s">
        <v>97</v>
      </c>
      <c r="C502">
        <v>21</v>
      </c>
      <c r="D502">
        <v>9</v>
      </c>
      <c r="E502" t="s">
        <v>89</v>
      </c>
      <c r="F502" t="s">
        <v>90</v>
      </c>
      <c r="G502" t="s">
        <v>15</v>
      </c>
      <c r="H502" t="s">
        <v>91</v>
      </c>
      <c r="I502">
        <v>20</v>
      </c>
      <c r="J502">
        <v>0</v>
      </c>
      <c r="K502">
        <v>8</v>
      </c>
      <c r="L502" t="s">
        <v>116</v>
      </c>
      <c r="M502">
        <v>15</v>
      </c>
      <c r="N502">
        <v>1</v>
      </c>
      <c r="O502" t="s">
        <v>15</v>
      </c>
      <c r="P502">
        <v>1</v>
      </c>
      <c r="Q502" t="s">
        <v>90</v>
      </c>
      <c r="R502" t="s">
        <v>98</v>
      </c>
    </row>
    <row r="503" spans="1:18">
      <c r="A503">
        <v>1712</v>
      </c>
      <c r="B503" t="s">
        <v>97</v>
      </c>
      <c r="C503">
        <v>22</v>
      </c>
      <c r="D503">
        <v>10</v>
      </c>
      <c r="E503" t="s">
        <v>94</v>
      </c>
      <c r="F503" t="s">
        <v>90</v>
      </c>
      <c r="G503" t="s">
        <v>15</v>
      </c>
      <c r="H503" t="s">
        <v>91</v>
      </c>
      <c r="I503">
        <v>20</v>
      </c>
      <c r="J503">
        <v>0</v>
      </c>
      <c r="K503">
        <v>8</v>
      </c>
      <c r="L503" t="s">
        <v>116</v>
      </c>
      <c r="M503">
        <v>15</v>
      </c>
      <c r="N503">
        <v>1</v>
      </c>
      <c r="O503" t="s">
        <v>15</v>
      </c>
      <c r="P503">
        <v>1</v>
      </c>
      <c r="Q503" t="s">
        <v>90</v>
      </c>
      <c r="R503" t="s">
        <v>98</v>
      </c>
    </row>
    <row r="504" spans="1:18">
      <c r="A504">
        <v>1713</v>
      </c>
      <c r="B504" t="s">
        <v>97</v>
      </c>
      <c r="C504">
        <v>23</v>
      </c>
      <c r="D504">
        <v>9</v>
      </c>
      <c r="E504" t="s">
        <v>89</v>
      </c>
      <c r="F504" t="s">
        <v>90</v>
      </c>
      <c r="G504" t="s">
        <v>15</v>
      </c>
      <c r="H504" t="s">
        <v>91</v>
      </c>
      <c r="I504">
        <v>20</v>
      </c>
      <c r="J504">
        <v>0</v>
      </c>
      <c r="K504">
        <v>8</v>
      </c>
      <c r="L504" t="s">
        <v>116</v>
      </c>
      <c r="M504">
        <v>15</v>
      </c>
      <c r="N504">
        <v>1</v>
      </c>
      <c r="O504" t="s">
        <v>15</v>
      </c>
      <c r="P504">
        <v>1</v>
      </c>
      <c r="Q504" t="s">
        <v>90</v>
      </c>
      <c r="R504" t="s">
        <v>98</v>
      </c>
    </row>
    <row r="505" spans="1:18">
      <c r="A505">
        <v>1714</v>
      </c>
      <c r="B505" t="s">
        <v>97</v>
      </c>
      <c r="C505">
        <v>24</v>
      </c>
      <c r="D505">
        <v>10</v>
      </c>
      <c r="E505" t="s">
        <v>94</v>
      </c>
      <c r="F505" t="s">
        <v>90</v>
      </c>
      <c r="G505" t="s">
        <v>15</v>
      </c>
      <c r="H505" t="s">
        <v>91</v>
      </c>
      <c r="I505">
        <v>20</v>
      </c>
      <c r="J505">
        <v>0</v>
      </c>
      <c r="K505">
        <v>8</v>
      </c>
      <c r="L505" t="s">
        <v>116</v>
      </c>
      <c r="M505">
        <v>15</v>
      </c>
      <c r="N505">
        <v>1</v>
      </c>
      <c r="O505" t="s">
        <v>15</v>
      </c>
      <c r="P505">
        <v>1</v>
      </c>
      <c r="Q505" t="s">
        <v>90</v>
      </c>
      <c r="R505" t="s">
        <v>98</v>
      </c>
    </row>
    <row r="506" spans="1:18">
      <c r="A506">
        <v>1715</v>
      </c>
      <c r="B506" t="s">
        <v>97</v>
      </c>
      <c r="C506">
        <v>25</v>
      </c>
      <c r="D506">
        <v>9</v>
      </c>
      <c r="E506" t="s">
        <v>89</v>
      </c>
      <c r="F506" t="s">
        <v>90</v>
      </c>
      <c r="G506" t="s">
        <v>15</v>
      </c>
      <c r="H506" t="s">
        <v>91</v>
      </c>
      <c r="I506">
        <v>20</v>
      </c>
      <c r="J506">
        <v>0</v>
      </c>
      <c r="K506">
        <v>8</v>
      </c>
      <c r="L506" t="s">
        <v>116</v>
      </c>
      <c r="M506">
        <v>15</v>
      </c>
      <c r="N506">
        <v>1</v>
      </c>
      <c r="O506" t="s">
        <v>15</v>
      </c>
      <c r="P506">
        <v>1</v>
      </c>
      <c r="Q506" t="s">
        <v>90</v>
      </c>
      <c r="R506" t="s">
        <v>98</v>
      </c>
    </row>
    <row r="507" spans="1:18">
      <c r="A507">
        <v>1716</v>
      </c>
      <c r="B507" t="s">
        <v>97</v>
      </c>
      <c r="C507">
        <v>26</v>
      </c>
      <c r="D507">
        <v>10</v>
      </c>
      <c r="E507" t="s">
        <v>94</v>
      </c>
      <c r="F507" t="s">
        <v>90</v>
      </c>
      <c r="G507" t="s">
        <v>15</v>
      </c>
      <c r="H507" t="s">
        <v>91</v>
      </c>
      <c r="I507">
        <v>20</v>
      </c>
      <c r="J507">
        <v>0</v>
      </c>
      <c r="K507">
        <v>8</v>
      </c>
      <c r="L507" t="s">
        <v>116</v>
      </c>
      <c r="M507">
        <v>15</v>
      </c>
      <c r="N507">
        <v>1</v>
      </c>
      <c r="O507" t="s">
        <v>15</v>
      </c>
      <c r="P507">
        <v>1</v>
      </c>
      <c r="Q507" t="s">
        <v>90</v>
      </c>
      <c r="R507" t="s">
        <v>98</v>
      </c>
    </row>
    <row r="508" spans="1:18">
      <c r="A508">
        <v>1717</v>
      </c>
      <c r="B508" t="s">
        <v>97</v>
      </c>
      <c r="C508">
        <v>27</v>
      </c>
      <c r="D508">
        <v>9</v>
      </c>
      <c r="E508" t="s">
        <v>89</v>
      </c>
      <c r="F508" t="s">
        <v>90</v>
      </c>
      <c r="G508" t="s">
        <v>15</v>
      </c>
      <c r="H508" t="s">
        <v>91</v>
      </c>
      <c r="I508">
        <v>20</v>
      </c>
      <c r="J508">
        <v>0</v>
      </c>
      <c r="K508">
        <v>8</v>
      </c>
      <c r="L508" t="s">
        <v>116</v>
      </c>
      <c r="M508">
        <v>15</v>
      </c>
      <c r="N508">
        <v>1</v>
      </c>
      <c r="O508" t="s">
        <v>15</v>
      </c>
      <c r="P508">
        <v>1</v>
      </c>
      <c r="Q508" t="s">
        <v>90</v>
      </c>
      <c r="R508" t="s">
        <v>98</v>
      </c>
    </row>
    <row r="509" spans="1:18">
      <c r="A509">
        <v>1718</v>
      </c>
      <c r="B509" t="s">
        <v>97</v>
      </c>
      <c r="C509">
        <v>28</v>
      </c>
      <c r="D509">
        <v>10</v>
      </c>
      <c r="E509" t="s">
        <v>94</v>
      </c>
      <c r="F509" t="s">
        <v>90</v>
      </c>
      <c r="G509" t="s">
        <v>15</v>
      </c>
      <c r="H509" t="s">
        <v>91</v>
      </c>
      <c r="I509">
        <v>20</v>
      </c>
      <c r="J509">
        <v>0</v>
      </c>
      <c r="K509">
        <v>8</v>
      </c>
      <c r="L509" t="s">
        <v>116</v>
      </c>
      <c r="M509">
        <v>15</v>
      </c>
      <c r="N509">
        <v>1</v>
      </c>
      <c r="O509" t="s">
        <v>15</v>
      </c>
      <c r="P509">
        <v>1</v>
      </c>
      <c r="Q509" t="s">
        <v>90</v>
      </c>
      <c r="R509" t="s">
        <v>98</v>
      </c>
    </row>
    <row r="510" spans="1:18">
      <c r="A510">
        <v>1719</v>
      </c>
      <c r="B510" t="s">
        <v>97</v>
      </c>
      <c r="C510">
        <v>29</v>
      </c>
      <c r="D510">
        <v>9</v>
      </c>
      <c r="E510" t="s">
        <v>89</v>
      </c>
      <c r="F510" t="s">
        <v>90</v>
      </c>
      <c r="G510" t="s">
        <v>15</v>
      </c>
      <c r="H510" t="s">
        <v>91</v>
      </c>
      <c r="I510">
        <v>20</v>
      </c>
      <c r="J510">
        <v>0</v>
      </c>
      <c r="K510">
        <v>8</v>
      </c>
      <c r="L510" t="s">
        <v>116</v>
      </c>
      <c r="M510">
        <v>15</v>
      </c>
      <c r="N510">
        <v>1</v>
      </c>
      <c r="O510" t="s">
        <v>15</v>
      </c>
      <c r="P510">
        <v>1</v>
      </c>
      <c r="Q510" t="s">
        <v>90</v>
      </c>
      <c r="R510" t="s">
        <v>98</v>
      </c>
    </row>
    <row r="511" spans="1:18">
      <c r="A511">
        <v>1720</v>
      </c>
      <c r="B511" t="s">
        <v>97</v>
      </c>
      <c r="C511">
        <v>30</v>
      </c>
      <c r="D511">
        <v>10</v>
      </c>
      <c r="E511" t="s">
        <v>94</v>
      </c>
      <c r="F511" t="s">
        <v>90</v>
      </c>
      <c r="G511" t="s">
        <v>15</v>
      </c>
      <c r="H511" t="s">
        <v>91</v>
      </c>
      <c r="I511">
        <v>20</v>
      </c>
      <c r="J511">
        <v>0</v>
      </c>
      <c r="K511">
        <v>8</v>
      </c>
      <c r="L511" t="s">
        <v>116</v>
      </c>
      <c r="M511">
        <v>15</v>
      </c>
      <c r="N511">
        <v>1</v>
      </c>
      <c r="O511" t="s">
        <v>15</v>
      </c>
      <c r="P511">
        <v>1</v>
      </c>
      <c r="Q511" t="s">
        <v>90</v>
      </c>
      <c r="R511" t="s">
        <v>98</v>
      </c>
    </row>
    <row r="512" spans="1:18">
      <c r="A512">
        <v>1721</v>
      </c>
      <c r="B512" t="s">
        <v>97</v>
      </c>
      <c r="C512">
        <v>31</v>
      </c>
      <c r="D512">
        <v>12</v>
      </c>
      <c r="E512" t="s">
        <v>96</v>
      </c>
      <c r="F512" t="s">
        <v>90</v>
      </c>
      <c r="G512" t="s">
        <v>15</v>
      </c>
      <c r="H512" t="s">
        <v>91</v>
      </c>
      <c r="I512">
        <v>20</v>
      </c>
      <c r="J512">
        <v>0</v>
      </c>
      <c r="K512">
        <v>8</v>
      </c>
      <c r="L512" t="s">
        <v>116</v>
      </c>
      <c r="M512">
        <v>15</v>
      </c>
      <c r="N512">
        <v>1</v>
      </c>
      <c r="O512" t="s">
        <v>15</v>
      </c>
      <c r="P512">
        <v>1</v>
      </c>
      <c r="Q512" t="s">
        <v>90</v>
      </c>
      <c r="R512" t="s">
        <v>98</v>
      </c>
    </row>
    <row r="513" spans="1:18">
      <c r="A513">
        <v>1722</v>
      </c>
      <c r="B513" t="s">
        <v>97</v>
      </c>
      <c r="C513">
        <v>32</v>
      </c>
      <c r="D513">
        <v>12</v>
      </c>
      <c r="E513" t="s">
        <v>96</v>
      </c>
      <c r="F513" t="s">
        <v>90</v>
      </c>
      <c r="G513" t="s">
        <v>15</v>
      </c>
      <c r="H513" t="s">
        <v>91</v>
      </c>
      <c r="I513">
        <v>20</v>
      </c>
      <c r="J513">
        <v>0</v>
      </c>
      <c r="K513">
        <v>8</v>
      </c>
      <c r="L513" t="s">
        <v>116</v>
      </c>
      <c r="M513">
        <v>15</v>
      </c>
      <c r="N513">
        <v>1</v>
      </c>
      <c r="O513" t="s">
        <v>15</v>
      </c>
      <c r="P513">
        <v>1</v>
      </c>
      <c r="Q513" t="s">
        <v>90</v>
      </c>
      <c r="R513" t="s">
        <v>98</v>
      </c>
    </row>
    <row r="514" spans="1:18">
      <c r="A514">
        <v>1723</v>
      </c>
      <c r="B514" t="s">
        <v>97</v>
      </c>
      <c r="C514">
        <v>33</v>
      </c>
      <c r="D514">
        <v>12</v>
      </c>
      <c r="E514" t="s">
        <v>96</v>
      </c>
      <c r="F514" t="s">
        <v>90</v>
      </c>
      <c r="G514" t="s">
        <v>15</v>
      </c>
      <c r="H514" t="s">
        <v>91</v>
      </c>
      <c r="I514">
        <v>20</v>
      </c>
      <c r="J514">
        <v>0</v>
      </c>
      <c r="K514">
        <v>8</v>
      </c>
      <c r="L514" t="s">
        <v>116</v>
      </c>
      <c r="M514">
        <v>15</v>
      </c>
      <c r="N514">
        <v>1</v>
      </c>
      <c r="O514" t="s">
        <v>15</v>
      </c>
      <c r="P514">
        <v>1</v>
      </c>
      <c r="Q514" t="s">
        <v>90</v>
      </c>
      <c r="R514" t="s">
        <v>98</v>
      </c>
    </row>
    <row r="515" spans="1:18">
      <c r="A515">
        <v>1724</v>
      </c>
      <c r="B515" t="s">
        <v>97</v>
      </c>
      <c r="C515">
        <v>34</v>
      </c>
      <c r="D515">
        <v>12</v>
      </c>
      <c r="E515" t="s">
        <v>96</v>
      </c>
      <c r="F515" t="s">
        <v>90</v>
      </c>
      <c r="G515" t="s">
        <v>15</v>
      </c>
      <c r="H515" t="s">
        <v>91</v>
      </c>
      <c r="I515">
        <v>20</v>
      </c>
      <c r="J515">
        <v>0</v>
      </c>
      <c r="K515">
        <v>8</v>
      </c>
      <c r="L515" t="s">
        <v>116</v>
      </c>
      <c r="M515">
        <v>15</v>
      </c>
      <c r="N515">
        <v>1</v>
      </c>
      <c r="O515" t="s">
        <v>15</v>
      </c>
      <c r="P515">
        <v>1</v>
      </c>
      <c r="Q515" t="s">
        <v>90</v>
      </c>
      <c r="R515" t="s">
        <v>98</v>
      </c>
    </row>
    <row r="516" spans="1:18">
      <c r="A516">
        <v>1725</v>
      </c>
      <c r="B516" t="s">
        <v>97</v>
      </c>
      <c r="C516">
        <v>35</v>
      </c>
      <c r="D516">
        <v>12</v>
      </c>
      <c r="E516" t="s">
        <v>96</v>
      </c>
      <c r="F516" t="s">
        <v>90</v>
      </c>
      <c r="G516" t="s">
        <v>15</v>
      </c>
      <c r="H516" t="s">
        <v>91</v>
      </c>
      <c r="I516">
        <v>20</v>
      </c>
      <c r="J516">
        <v>0</v>
      </c>
      <c r="K516">
        <v>8</v>
      </c>
      <c r="L516" t="s">
        <v>116</v>
      </c>
      <c r="M516">
        <v>15</v>
      </c>
      <c r="N516">
        <v>1</v>
      </c>
      <c r="O516" t="s">
        <v>15</v>
      </c>
      <c r="P516">
        <v>1</v>
      </c>
      <c r="Q516" t="s">
        <v>90</v>
      </c>
      <c r="R516" t="s">
        <v>98</v>
      </c>
    </row>
    <row r="517" spans="1:18">
      <c r="A517">
        <v>1726</v>
      </c>
      <c r="B517" t="s">
        <v>97</v>
      </c>
      <c r="C517">
        <v>36</v>
      </c>
      <c r="D517">
        <v>12</v>
      </c>
      <c r="E517" t="s">
        <v>96</v>
      </c>
      <c r="F517" t="s">
        <v>90</v>
      </c>
      <c r="G517" t="s">
        <v>15</v>
      </c>
      <c r="H517" t="s">
        <v>91</v>
      </c>
      <c r="I517">
        <v>20</v>
      </c>
      <c r="J517">
        <v>0</v>
      </c>
      <c r="K517">
        <v>8</v>
      </c>
      <c r="L517" t="s">
        <v>116</v>
      </c>
      <c r="M517">
        <v>15</v>
      </c>
      <c r="N517">
        <v>1</v>
      </c>
      <c r="O517" t="s">
        <v>15</v>
      </c>
      <c r="P517">
        <v>1</v>
      </c>
      <c r="Q517" t="s">
        <v>90</v>
      </c>
      <c r="R517" t="s">
        <v>98</v>
      </c>
    </row>
    <row r="518" spans="1:18">
      <c r="A518">
        <v>1727</v>
      </c>
      <c r="B518" t="s">
        <v>97</v>
      </c>
      <c r="C518">
        <v>37</v>
      </c>
      <c r="D518">
        <v>12</v>
      </c>
      <c r="E518" t="s">
        <v>96</v>
      </c>
      <c r="F518" t="s">
        <v>90</v>
      </c>
      <c r="G518" t="s">
        <v>15</v>
      </c>
      <c r="H518" t="s">
        <v>91</v>
      </c>
      <c r="I518">
        <v>20</v>
      </c>
      <c r="J518">
        <v>0</v>
      </c>
      <c r="K518">
        <v>8</v>
      </c>
      <c r="L518" t="s">
        <v>116</v>
      </c>
      <c r="M518">
        <v>15</v>
      </c>
      <c r="N518">
        <v>1</v>
      </c>
      <c r="O518" t="s">
        <v>15</v>
      </c>
      <c r="P518">
        <v>1</v>
      </c>
      <c r="Q518" t="s">
        <v>90</v>
      </c>
      <c r="R518" t="s">
        <v>98</v>
      </c>
    </row>
    <row r="519" spans="1:18">
      <c r="A519">
        <v>1728</v>
      </c>
      <c r="B519" t="s">
        <v>97</v>
      </c>
      <c r="C519">
        <v>38</v>
      </c>
      <c r="D519">
        <v>12</v>
      </c>
      <c r="E519" t="s">
        <v>96</v>
      </c>
      <c r="F519" t="s">
        <v>90</v>
      </c>
      <c r="G519" t="s">
        <v>15</v>
      </c>
      <c r="H519" t="s">
        <v>91</v>
      </c>
      <c r="I519">
        <v>20</v>
      </c>
      <c r="J519">
        <v>0</v>
      </c>
      <c r="K519">
        <v>8</v>
      </c>
      <c r="L519" t="s">
        <v>116</v>
      </c>
      <c r="M519">
        <v>15</v>
      </c>
      <c r="N519">
        <v>1</v>
      </c>
      <c r="O519" t="s">
        <v>15</v>
      </c>
      <c r="P519">
        <v>1</v>
      </c>
      <c r="Q519" t="s">
        <v>90</v>
      </c>
      <c r="R519" t="s">
        <v>98</v>
      </c>
    </row>
    <row r="520" spans="1:18">
      <c r="A520">
        <v>1729</v>
      </c>
      <c r="B520" t="s">
        <v>97</v>
      </c>
      <c r="C520">
        <v>39</v>
      </c>
      <c r="D520">
        <v>12</v>
      </c>
      <c r="E520" t="s">
        <v>96</v>
      </c>
      <c r="F520" t="s">
        <v>90</v>
      </c>
      <c r="G520" t="s">
        <v>15</v>
      </c>
      <c r="H520" t="s">
        <v>91</v>
      </c>
      <c r="I520">
        <v>20</v>
      </c>
      <c r="J520">
        <v>0</v>
      </c>
      <c r="K520">
        <v>8</v>
      </c>
      <c r="L520" t="s">
        <v>116</v>
      </c>
      <c r="M520">
        <v>15</v>
      </c>
      <c r="N520">
        <v>1</v>
      </c>
      <c r="O520" t="s">
        <v>15</v>
      </c>
      <c r="P520">
        <v>1</v>
      </c>
      <c r="Q520" t="s">
        <v>90</v>
      </c>
      <c r="R520" t="s">
        <v>98</v>
      </c>
    </row>
    <row r="521" spans="1:18">
      <c r="A521">
        <v>1730</v>
      </c>
      <c r="B521" t="s">
        <v>97</v>
      </c>
      <c r="C521">
        <v>40</v>
      </c>
      <c r="D521">
        <v>12</v>
      </c>
      <c r="E521" t="s">
        <v>96</v>
      </c>
      <c r="F521" t="s">
        <v>90</v>
      </c>
      <c r="G521" t="s">
        <v>15</v>
      </c>
      <c r="H521" t="s">
        <v>91</v>
      </c>
      <c r="I521">
        <v>20</v>
      </c>
      <c r="J521">
        <v>0</v>
      </c>
      <c r="K521">
        <v>8</v>
      </c>
      <c r="L521" t="s">
        <v>116</v>
      </c>
      <c r="M521">
        <v>15</v>
      </c>
      <c r="N521">
        <v>1</v>
      </c>
      <c r="O521" t="s">
        <v>15</v>
      </c>
      <c r="P521">
        <v>1</v>
      </c>
      <c r="Q521" t="s">
        <v>90</v>
      </c>
      <c r="R521" t="s">
        <v>98</v>
      </c>
    </row>
    <row r="522" spans="1:18">
      <c r="A522">
        <v>1731</v>
      </c>
      <c r="B522" t="s">
        <v>99</v>
      </c>
      <c r="C522">
        <v>1</v>
      </c>
      <c r="D522">
        <v>9</v>
      </c>
      <c r="E522" t="s">
        <v>89</v>
      </c>
      <c r="F522" t="s">
        <v>90</v>
      </c>
      <c r="G522" t="s">
        <v>15</v>
      </c>
      <c r="H522" t="s">
        <v>91</v>
      </c>
      <c r="I522">
        <v>20</v>
      </c>
      <c r="J522">
        <v>0</v>
      </c>
      <c r="K522">
        <v>8</v>
      </c>
      <c r="L522" t="s">
        <v>116</v>
      </c>
      <c r="M522">
        <v>17</v>
      </c>
      <c r="N522">
        <v>1</v>
      </c>
      <c r="O522" t="s">
        <v>15</v>
      </c>
      <c r="P522">
        <v>1</v>
      </c>
      <c r="Q522" t="s">
        <v>90</v>
      </c>
      <c r="R522" t="s">
        <v>100</v>
      </c>
    </row>
    <row r="523" spans="1:18">
      <c r="A523">
        <v>1732</v>
      </c>
      <c r="B523" t="s">
        <v>99</v>
      </c>
      <c r="C523">
        <v>2</v>
      </c>
      <c r="D523">
        <v>10</v>
      </c>
      <c r="E523" t="s">
        <v>94</v>
      </c>
      <c r="F523" t="s">
        <v>90</v>
      </c>
      <c r="G523" t="s">
        <v>15</v>
      </c>
      <c r="H523" t="s">
        <v>91</v>
      </c>
      <c r="I523">
        <v>20</v>
      </c>
      <c r="J523">
        <v>0</v>
      </c>
      <c r="K523">
        <v>8</v>
      </c>
      <c r="L523" t="s">
        <v>116</v>
      </c>
      <c r="M523">
        <v>17</v>
      </c>
      <c r="N523">
        <v>1</v>
      </c>
      <c r="O523" t="s">
        <v>15</v>
      </c>
      <c r="P523">
        <v>1</v>
      </c>
      <c r="Q523" t="s">
        <v>90</v>
      </c>
      <c r="R523" t="s">
        <v>100</v>
      </c>
    </row>
    <row r="524" spans="1:18">
      <c r="A524">
        <v>1733</v>
      </c>
      <c r="B524" t="s">
        <v>99</v>
      </c>
      <c r="C524">
        <v>3</v>
      </c>
      <c r="D524">
        <v>9</v>
      </c>
      <c r="E524" t="s">
        <v>89</v>
      </c>
      <c r="F524" t="s">
        <v>90</v>
      </c>
      <c r="G524" t="s">
        <v>15</v>
      </c>
      <c r="H524" t="s">
        <v>91</v>
      </c>
      <c r="I524">
        <v>20</v>
      </c>
      <c r="J524">
        <v>0</v>
      </c>
      <c r="K524">
        <v>8</v>
      </c>
      <c r="L524" t="s">
        <v>116</v>
      </c>
      <c r="M524">
        <v>17</v>
      </c>
      <c r="N524">
        <v>1</v>
      </c>
      <c r="O524" t="s">
        <v>15</v>
      </c>
      <c r="P524">
        <v>1</v>
      </c>
      <c r="Q524" t="s">
        <v>90</v>
      </c>
      <c r="R524" t="s">
        <v>100</v>
      </c>
    </row>
    <row r="525" spans="1:18">
      <c r="A525">
        <v>1734</v>
      </c>
      <c r="B525" t="s">
        <v>99</v>
      </c>
      <c r="C525">
        <v>4</v>
      </c>
      <c r="D525">
        <v>9</v>
      </c>
      <c r="E525" t="s">
        <v>89</v>
      </c>
      <c r="F525" t="s">
        <v>90</v>
      </c>
      <c r="G525" t="s">
        <v>15</v>
      </c>
      <c r="H525" t="s">
        <v>91</v>
      </c>
      <c r="I525">
        <v>20</v>
      </c>
      <c r="J525">
        <v>0</v>
      </c>
      <c r="K525">
        <v>8</v>
      </c>
      <c r="L525" t="s">
        <v>116</v>
      </c>
      <c r="M525">
        <v>17</v>
      </c>
      <c r="N525">
        <v>1</v>
      </c>
      <c r="O525" t="s">
        <v>15</v>
      </c>
      <c r="P525">
        <v>1</v>
      </c>
      <c r="Q525" t="s">
        <v>90</v>
      </c>
      <c r="R525" t="s">
        <v>100</v>
      </c>
    </row>
    <row r="526" spans="1:18">
      <c r="A526">
        <v>1735</v>
      </c>
      <c r="B526" t="s">
        <v>99</v>
      </c>
      <c r="C526">
        <v>5</v>
      </c>
      <c r="D526">
        <v>9</v>
      </c>
      <c r="E526" t="s">
        <v>89</v>
      </c>
      <c r="F526" t="s">
        <v>90</v>
      </c>
      <c r="G526" t="s">
        <v>15</v>
      </c>
      <c r="H526" t="s">
        <v>91</v>
      </c>
      <c r="I526">
        <v>20</v>
      </c>
      <c r="J526">
        <v>0</v>
      </c>
      <c r="K526">
        <v>8</v>
      </c>
      <c r="L526" t="s">
        <v>116</v>
      </c>
      <c r="M526">
        <v>17</v>
      </c>
      <c r="N526">
        <v>1</v>
      </c>
      <c r="O526" t="s">
        <v>15</v>
      </c>
      <c r="P526">
        <v>1</v>
      </c>
      <c r="Q526" t="s">
        <v>90</v>
      </c>
      <c r="R526" t="s">
        <v>100</v>
      </c>
    </row>
    <row r="527" spans="1:18">
      <c r="A527">
        <v>1736</v>
      </c>
      <c r="B527" t="s">
        <v>99</v>
      </c>
      <c r="C527">
        <v>6</v>
      </c>
      <c r="D527">
        <v>10</v>
      </c>
      <c r="E527" t="s">
        <v>94</v>
      </c>
      <c r="F527" t="s">
        <v>90</v>
      </c>
      <c r="G527" t="s">
        <v>15</v>
      </c>
      <c r="H527" t="s">
        <v>91</v>
      </c>
      <c r="I527">
        <v>20</v>
      </c>
      <c r="J527">
        <v>0</v>
      </c>
      <c r="K527">
        <v>8</v>
      </c>
      <c r="L527" t="s">
        <v>116</v>
      </c>
      <c r="M527">
        <v>17</v>
      </c>
      <c r="N527">
        <v>1</v>
      </c>
      <c r="O527" t="s">
        <v>15</v>
      </c>
      <c r="P527">
        <v>1</v>
      </c>
      <c r="Q527" t="s">
        <v>90</v>
      </c>
      <c r="R527" t="s">
        <v>100</v>
      </c>
    </row>
    <row r="528" spans="1:18">
      <c r="A528">
        <v>1737</v>
      </c>
      <c r="B528" t="s">
        <v>99</v>
      </c>
      <c r="C528">
        <v>7</v>
      </c>
      <c r="D528">
        <v>10</v>
      </c>
      <c r="E528" t="s">
        <v>94</v>
      </c>
      <c r="F528" t="s">
        <v>90</v>
      </c>
      <c r="G528" t="s">
        <v>15</v>
      </c>
      <c r="H528" t="s">
        <v>91</v>
      </c>
      <c r="I528">
        <v>20</v>
      </c>
      <c r="J528">
        <v>0</v>
      </c>
      <c r="K528">
        <v>8</v>
      </c>
      <c r="L528" t="s">
        <v>116</v>
      </c>
      <c r="M528">
        <v>17</v>
      </c>
      <c r="N528">
        <v>1</v>
      </c>
      <c r="O528" t="s">
        <v>15</v>
      </c>
      <c r="P528">
        <v>1</v>
      </c>
      <c r="Q528" t="s">
        <v>90</v>
      </c>
      <c r="R528" t="s">
        <v>100</v>
      </c>
    </row>
    <row r="529" spans="1:18">
      <c r="A529">
        <v>1738</v>
      </c>
      <c r="B529" t="s">
        <v>99</v>
      </c>
      <c r="C529">
        <v>8</v>
      </c>
      <c r="D529">
        <v>10</v>
      </c>
      <c r="E529" t="s">
        <v>94</v>
      </c>
      <c r="F529" t="s">
        <v>90</v>
      </c>
      <c r="G529" t="s">
        <v>15</v>
      </c>
      <c r="H529" t="s">
        <v>91</v>
      </c>
      <c r="I529">
        <v>20</v>
      </c>
      <c r="J529">
        <v>0</v>
      </c>
      <c r="K529">
        <v>8</v>
      </c>
      <c r="L529" t="s">
        <v>116</v>
      </c>
      <c r="M529">
        <v>17</v>
      </c>
      <c r="N529">
        <v>1</v>
      </c>
      <c r="O529" t="s">
        <v>15</v>
      </c>
      <c r="P529">
        <v>1</v>
      </c>
      <c r="Q529" t="s">
        <v>90</v>
      </c>
      <c r="R529" t="s">
        <v>100</v>
      </c>
    </row>
    <row r="530" spans="1:18">
      <c r="A530">
        <v>1739</v>
      </c>
      <c r="B530" t="s">
        <v>99</v>
      </c>
      <c r="C530">
        <v>9</v>
      </c>
      <c r="D530">
        <v>10</v>
      </c>
      <c r="E530" t="s">
        <v>94</v>
      </c>
      <c r="F530" t="s">
        <v>90</v>
      </c>
      <c r="G530" t="s">
        <v>15</v>
      </c>
      <c r="H530" t="s">
        <v>91</v>
      </c>
      <c r="I530">
        <v>20</v>
      </c>
      <c r="J530">
        <v>0</v>
      </c>
      <c r="K530">
        <v>8</v>
      </c>
      <c r="L530" t="s">
        <v>116</v>
      </c>
      <c r="M530">
        <v>17</v>
      </c>
      <c r="N530">
        <v>1</v>
      </c>
      <c r="O530" t="s">
        <v>15</v>
      </c>
      <c r="P530">
        <v>1</v>
      </c>
      <c r="Q530" t="s">
        <v>90</v>
      </c>
      <c r="R530" t="s">
        <v>100</v>
      </c>
    </row>
    <row r="531" spans="1:18">
      <c r="A531">
        <v>1740</v>
      </c>
      <c r="B531" t="s">
        <v>99</v>
      </c>
      <c r="C531">
        <v>10</v>
      </c>
      <c r="D531">
        <v>9</v>
      </c>
      <c r="E531" t="s">
        <v>89</v>
      </c>
      <c r="F531" t="s">
        <v>90</v>
      </c>
      <c r="G531" t="s">
        <v>15</v>
      </c>
      <c r="H531" t="s">
        <v>91</v>
      </c>
      <c r="I531">
        <v>20</v>
      </c>
      <c r="J531">
        <v>0</v>
      </c>
      <c r="K531">
        <v>8</v>
      </c>
      <c r="L531" t="s">
        <v>116</v>
      </c>
      <c r="M531">
        <v>17</v>
      </c>
      <c r="N531">
        <v>1</v>
      </c>
      <c r="O531" t="s">
        <v>15</v>
      </c>
      <c r="P531">
        <v>1</v>
      </c>
      <c r="Q531" t="s">
        <v>90</v>
      </c>
      <c r="R531" t="s">
        <v>100</v>
      </c>
    </row>
    <row r="532" spans="1:18">
      <c r="A532">
        <v>1741</v>
      </c>
      <c r="B532" t="s">
        <v>99</v>
      </c>
      <c r="C532">
        <v>11</v>
      </c>
      <c r="D532">
        <v>11</v>
      </c>
      <c r="E532" t="s">
        <v>95</v>
      </c>
      <c r="F532" t="s">
        <v>90</v>
      </c>
      <c r="G532" t="s">
        <v>15</v>
      </c>
      <c r="H532" t="s">
        <v>91</v>
      </c>
      <c r="I532">
        <v>20</v>
      </c>
      <c r="J532">
        <v>0</v>
      </c>
      <c r="K532">
        <v>8</v>
      </c>
      <c r="L532" t="s">
        <v>116</v>
      </c>
      <c r="M532">
        <v>17</v>
      </c>
      <c r="N532">
        <v>1</v>
      </c>
      <c r="O532" t="s">
        <v>15</v>
      </c>
      <c r="P532">
        <v>1</v>
      </c>
      <c r="Q532" t="s">
        <v>90</v>
      </c>
      <c r="R532" t="s">
        <v>100</v>
      </c>
    </row>
    <row r="533" spans="1:18">
      <c r="A533">
        <v>1742</v>
      </c>
      <c r="B533" t="s">
        <v>99</v>
      </c>
      <c r="C533">
        <v>12</v>
      </c>
      <c r="D533">
        <v>11</v>
      </c>
      <c r="E533" t="s">
        <v>95</v>
      </c>
      <c r="F533" t="s">
        <v>90</v>
      </c>
      <c r="G533" t="s">
        <v>15</v>
      </c>
      <c r="H533" t="s">
        <v>91</v>
      </c>
      <c r="I533">
        <v>20</v>
      </c>
      <c r="J533">
        <v>0</v>
      </c>
      <c r="K533">
        <v>8</v>
      </c>
      <c r="L533" t="s">
        <v>116</v>
      </c>
      <c r="M533">
        <v>17</v>
      </c>
      <c r="N533">
        <v>1</v>
      </c>
      <c r="O533" t="s">
        <v>15</v>
      </c>
      <c r="P533">
        <v>1</v>
      </c>
      <c r="Q533" t="s">
        <v>90</v>
      </c>
      <c r="R533" t="s">
        <v>100</v>
      </c>
    </row>
    <row r="534" spans="1:18">
      <c r="A534">
        <v>1743</v>
      </c>
      <c r="B534" t="s">
        <v>99</v>
      </c>
      <c r="C534">
        <v>13</v>
      </c>
      <c r="D534">
        <v>11</v>
      </c>
      <c r="E534" t="s">
        <v>95</v>
      </c>
      <c r="F534" t="s">
        <v>90</v>
      </c>
      <c r="G534" t="s">
        <v>15</v>
      </c>
      <c r="H534" t="s">
        <v>91</v>
      </c>
      <c r="I534">
        <v>20</v>
      </c>
      <c r="J534">
        <v>0</v>
      </c>
      <c r="K534">
        <v>8</v>
      </c>
      <c r="L534" t="s">
        <v>116</v>
      </c>
      <c r="M534">
        <v>17</v>
      </c>
      <c r="N534">
        <v>1</v>
      </c>
      <c r="O534" t="s">
        <v>15</v>
      </c>
      <c r="P534">
        <v>1</v>
      </c>
      <c r="Q534" t="s">
        <v>90</v>
      </c>
      <c r="R534" t="s">
        <v>100</v>
      </c>
    </row>
    <row r="535" spans="1:18">
      <c r="A535">
        <v>1744</v>
      </c>
      <c r="B535" t="s">
        <v>99</v>
      </c>
      <c r="C535">
        <v>14</v>
      </c>
      <c r="D535">
        <v>11</v>
      </c>
      <c r="E535" t="s">
        <v>95</v>
      </c>
      <c r="F535" t="s">
        <v>90</v>
      </c>
      <c r="G535" t="s">
        <v>15</v>
      </c>
      <c r="H535" t="s">
        <v>91</v>
      </c>
      <c r="I535">
        <v>20</v>
      </c>
      <c r="J535">
        <v>0</v>
      </c>
      <c r="K535">
        <v>8</v>
      </c>
      <c r="L535" t="s">
        <v>116</v>
      </c>
      <c r="M535">
        <v>17</v>
      </c>
      <c r="N535">
        <v>1</v>
      </c>
      <c r="O535" t="s">
        <v>15</v>
      </c>
      <c r="P535">
        <v>1</v>
      </c>
      <c r="Q535" t="s">
        <v>90</v>
      </c>
      <c r="R535" t="s">
        <v>100</v>
      </c>
    </row>
    <row r="536" spans="1:18">
      <c r="A536">
        <v>1745</v>
      </c>
      <c r="B536" t="s">
        <v>99</v>
      </c>
      <c r="C536">
        <v>15</v>
      </c>
      <c r="D536">
        <v>11</v>
      </c>
      <c r="E536" t="s">
        <v>95</v>
      </c>
      <c r="F536" t="s">
        <v>90</v>
      </c>
      <c r="G536" t="s">
        <v>15</v>
      </c>
      <c r="H536" t="s">
        <v>91</v>
      </c>
      <c r="I536">
        <v>20</v>
      </c>
      <c r="J536">
        <v>0</v>
      </c>
      <c r="K536">
        <v>8</v>
      </c>
      <c r="L536" t="s">
        <v>116</v>
      </c>
      <c r="M536">
        <v>17</v>
      </c>
      <c r="N536">
        <v>1</v>
      </c>
      <c r="O536" t="s">
        <v>15</v>
      </c>
      <c r="P536">
        <v>1</v>
      </c>
      <c r="Q536" t="s">
        <v>90</v>
      </c>
      <c r="R536" t="s">
        <v>100</v>
      </c>
    </row>
    <row r="537" spans="1:18">
      <c r="A537">
        <v>1746</v>
      </c>
      <c r="B537" t="s">
        <v>99</v>
      </c>
      <c r="C537">
        <v>16</v>
      </c>
      <c r="D537">
        <v>11</v>
      </c>
      <c r="E537" t="s">
        <v>95</v>
      </c>
      <c r="F537" t="s">
        <v>90</v>
      </c>
      <c r="G537" t="s">
        <v>15</v>
      </c>
      <c r="H537" t="s">
        <v>91</v>
      </c>
      <c r="I537">
        <v>20</v>
      </c>
      <c r="J537">
        <v>0</v>
      </c>
      <c r="K537">
        <v>8</v>
      </c>
      <c r="L537" t="s">
        <v>116</v>
      </c>
      <c r="M537">
        <v>17</v>
      </c>
      <c r="N537">
        <v>1</v>
      </c>
      <c r="O537" t="s">
        <v>15</v>
      </c>
      <c r="P537">
        <v>1</v>
      </c>
      <c r="Q537" t="s">
        <v>90</v>
      </c>
      <c r="R537" t="s">
        <v>100</v>
      </c>
    </row>
    <row r="538" spans="1:18">
      <c r="A538">
        <v>1747</v>
      </c>
      <c r="B538" t="s">
        <v>99</v>
      </c>
      <c r="C538">
        <v>17</v>
      </c>
      <c r="D538">
        <v>11</v>
      </c>
      <c r="E538" t="s">
        <v>95</v>
      </c>
      <c r="F538" t="s">
        <v>90</v>
      </c>
      <c r="G538" t="s">
        <v>15</v>
      </c>
      <c r="H538" t="s">
        <v>91</v>
      </c>
      <c r="I538">
        <v>20</v>
      </c>
      <c r="J538">
        <v>0</v>
      </c>
      <c r="K538">
        <v>8</v>
      </c>
      <c r="L538" t="s">
        <v>116</v>
      </c>
      <c r="M538">
        <v>17</v>
      </c>
      <c r="N538">
        <v>1</v>
      </c>
      <c r="O538" t="s">
        <v>15</v>
      </c>
      <c r="P538">
        <v>1</v>
      </c>
      <c r="Q538" t="s">
        <v>90</v>
      </c>
      <c r="R538" t="s">
        <v>100</v>
      </c>
    </row>
    <row r="539" spans="1:18">
      <c r="A539">
        <v>1748</v>
      </c>
      <c r="B539" t="s">
        <v>99</v>
      </c>
      <c r="C539">
        <v>18</v>
      </c>
      <c r="D539">
        <v>11</v>
      </c>
      <c r="E539" t="s">
        <v>95</v>
      </c>
      <c r="F539" t="s">
        <v>90</v>
      </c>
      <c r="G539" t="s">
        <v>15</v>
      </c>
      <c r="H539" t="s">
        <v>91</v>
      </c>
      <c r="I539">
        <v>20</v>
      </c>
      <c r="J539">
        <v>0</v>
      </c>
      <c r="K539">
        <v>8</v>
      </c>
      <c r="L539" t="s">
        <v>116</v>
      </c>
      <c r="M539">
        <v>17</v>
      </c>
      <c r="N539">
        <v>1</v>
      </c>
      <c r="O539" t="s">
        <v>15</v>
      </c>
      <c r="P539">
        <v>1</v>
      </c>
      <c r="Q539" t="s">
        <v>90</v>
      </c>
      <c r="R539" t="s">
        <v>100</v>
      </c>
    </row>
    <row r="540" spans="1:18">
      <c r="A540">
        <v>1749</v>
      </c>
      <c r="B540" t="s">
        <v>99</v>
      </c>
      <c r="C540">
        <v>19</v>
      </c>
      <c r="D540">
        <v>11</v>
      </c>
      <c r="E540" t="s">
        <v>95</v>
      </c>
      <c r="F540" t="s">
        <v>90</v>
      </c>
      <c r="G540" t="s">
        <v>15</v>
      </c>
      <c r="H540" t="s">
        <v>91</v>
      </c>
      <c r="I540">
        <v>20</v>
      </c>
      <c r="J540">
        <v>0</v>
      </c>
      <c r="K540">
        <v>8</v>
      </c>
      <c r="L540" t="s">
        <v>116</v>
      </c>
      <c r="M540">
        <v>17</v>
      </c>
      <c r="N540">
        <v>1</v>
      </c>
      <c r="O540" t="s">
        <v>15</v>
      </c>
      <c r="P540">
        <v>1</v>
      </c>
      <c r="Q540" t="s">
        <v>90</v>
      </c>
      <c r="R540" t="s">
        <v>100</v>
      </c>
    </row>
    <row r="541" spans="1:18">
      <c r="A541">
        <v>1750</v>
      </c>
      <c r="B541" t="s">
        <v>99</v>
      </c>
      <c r="C541">
        <v>20</v>
      </c>
      <c r="D541">
        <v>11</v>
      </c>
      <c r="E541" t="s">
        <v>95</v>
      </c>
      <c r="F541" t="s">
        <v>90</v>
      </c>
      <c r="G541" t="s">
        <v>15</v>
      </c>
      <c r="H541" t="s">
        <v>91</v>
      </c>
      <c r="I541">
        <v>20</v>
      </c>
      <c r="J541">
        <v>0</v>
      </c>
      <c r="K541">
        <v>8</v>
      </c>
      <c r="L541" t="s">
        <v>116</v>
      </c>
      <c r="M541">
        <v>17</v>
      </c>
      <c r="N541">
        <v>1</v>
      </c>
      <c r="O541" t="s">
        <v>15</v>
      </c>
      <c r="P541">
        <v>1</v>
      </c>
      <c r="Q541" t="s">
        <v>90</v>
      </c>
      <c r="R541" t="s">
        <v>100</v>
      </c>
    </row>
    <row r="542" spans="1:18">
      <c r="A542">
        <v>1751</v>
      </c>
      <c r="B542" t="s">
        <v>99</v>
      </c>
      <c r="C542">
        <v>21</v>
      </c>
      <c r="D542">
        <v>9</v>
      </c>
      <c r="E542" t="s">
        <v>89</v>
      </c>
      <c r="F542" t="s">
        <v>90</v>
      </c>
      <c r="G542" t="s">
        <v>15</v>
      </c>
      <c r="H542" t="s">
        <v>91</v>
      </c>
      <c r="I542">
        <v>20</v>
      </c>
      <c r="J542">
        <v>0</v>
      </c>
      <c r="K542">
        <v>8</v>
      </c>
      <c r="L542" t="s">
        <v>116</v>
      </c>
      <c r="M542">
        <v>17</v>
      </c>
      <c r="N542">
        <v>1</v>
      </c>
      <c r="O542" t="s">
        <v>15</v>
      </c>
      <c r="P542">
        <v>1</v>
      </c>
      <c r="Q542" t="s">
        <v>90</v>
      </c>
      <c r="R542" t="s">
        <v>100</v>
      </c>
    </row>
    <row r="543" spans="1:18">
      <c r="A543">
        <v>1752</v>
      </c>
      <c r="B543" t="s">
        <v>99</v>
      </c>
      <c r="C543">
        <v>22</v>
      </c>
      <c r="D543">
        <v>10</v>
      </c>
      <c r="E543" t="s">
        <v>94</v>
      </c>
      <c r="F543" t="s">
        <v>90</v>
      </c>
      <c r="G543" t="s">
        <v>15</v>
      </c>
      <c r="H543" t="s">
        <v>91</v>
      </c>
      <c r="I543">
        <v>20</v>
      </c>
      <c r="J543">
        <v>0</v>
      </c>
      <c r="K543">
        <v>8</v>
      </c>
      <c r="L543" t="s">
        <v>116</v>
      </c>
      <c r="M543">
        <v>17</v>
      </c>
      <c r="N543">
        <v>1</v>
      </c>
      <c r="O543" t="s">
        <v>15</v>
      </c>
      <c r="P543">
        <v>1</v>
      </c>
      <c r="Q543" t="s">
        <v>90</v>
      </c>
      <c r="R543" t="s">
        <v>100</v>
      </c>
    </row>
    <row r="544" spans="1:18">
      <c r="A544">
        <v>1753</v>
      </c>
      <c r="B544" t="s">
        <v>99</v>
      </c>
      <c r="C544">
        <v>23</v>
      </c>
      <c r="D544">
        <v>9</v>
      </c>
      <c r="E544" t="s">
        <v>89</v>
      </c>
      <c r="F544" t="s">
        <v>90</v>
      </c>
      <c r="G544" t="s">
        <v>15</v>
      </c>
      <c r="H544" t="s">
        <v>91</v>
      </c>
      <c r="I544">
        <v>20</v>
      </c>
      <c r="J544">
        <v>0</v>
      </c>
      <c r="K544">
        <v>8</v>
      </c>
      <c r="L544" t="s">
        <v>116</v>
      </c>
      <c r="M544">
        <v>17</v>
      </c>
      <c r="N544">
        <v>1</v>
      </c>
      <c r="O544" t="s">
        <v>15</v>
      </c>
      <c r="P544">
        <v>1</v>
      </c>
      <c r="Q544" t="s">
        <v>90</v>
      </c>
      <c r="R544" t="s">
        <v>100</v>
      </c>
    </row>
    <row r="545" spans="1:18">
      <c r="A545">
        <v>1754</v>
      </c>
      <c r="B545" t="s">
        <v>99</v>
      </c>
      <c r="C545">
        <v>24</v>
      </c>
      <c r="D545">
        <v>10</v>
      </c>
      <c r="E545" t="s">
        <v>94</v>
      </c>
      <c r="F545" t="s">
        <v>90</v>
      </c>
      <c r="G545" t="s">
        <v>15</v>
      </c>
      <c r="H545" t="s">
        <v>91</v>
      </c>
      <c r="I545">
        <v>20</v>
      </c>
      <c r="J545">
        <v>0</v>
      </c>
      <c r="K545">
        <v>8</v>
      </c>
      <c r="L545" t="s">
        <v>116</v>
      </c>
      <c r="M545">
        <v>17</v>
      </c>
      <c r="N545">
        <v>1</v>
      </c>
      <c r="O545" t="s">
        <v>15</v>
      </c>
      <c r="P545">
        <v>1</v>
      </c>
      <c r="Q545" t="s">
        <v>90</v>
      </c>
      <c r="R545" t="s">
        <v>100</v>
      </c>
    </row>
    <row r="546" spans="1:18">
      <c r="A546">
        <v>1755</v>
      </c>
      <c r="B546" t="s">
        <v>99</v>
      </c>
      <c r="C546">
        <v>25</v>
      </c>
      <c r="D546">
        <v>9</v>
      </c>
      <c r="E546" t="s">
        <v>89</v>
      </c>
      <c r="F546" t="s">
        <v>90</v>
      </c>
      <c r="G546" t="s">
        <v>15</v>
      </c>
      <c r="H546" t="s">
        <v>91</v>
      </c>
      <c r="I546">
        <v>20</v>
      </c>
      <c r="J546">
        <v>0</v>
      </c>
      <c r="K546">
        <v>8</v>
      </c>
      <c r="L546" t="s">
        <v>116</v>
      </c>
      <c r="M546">
        <v>17</v>
      </c>
      <c r="N546">
        <v>1</v>
      </c>
      <c r="O546" t="s">
        <v>15</v>
      </c>
      <c r="P546">
        <v>1</v>
      </c>
      <c r="Q546" t="s">
        <v>90</v>
      </c>
      <c r="R546" t="s">
        <v>100</v>
      </c>
    </row>
    <row r="547" spans="1:18">
      <c r="A547">
        <v>1756</v>
      </c>
      <c r="B547" t="s">
        <v>99</v>
      </c>
      <c r="C547">
        <v>26</v>
      </c>
      <c r="D547">
        <v>10</v>
      </c>
      <c r="E547" t="s">
        <v>94</v>
      </c>
      <c r="F547" t="s">
        <v>90</v>
      </c>
      <c r="G547" t="s">
        <v>15</v>
      </c>
      <c r="H547" t="s">
        <v>91</v>
      </c>
      <c r="I547">
        <v>20</v>
      </c>
      <c r="J547">
        <v>0</v>
      </c>
      <c r="K547">
        <v>8</v>
      </c>
      <c r="L547" t="s">
        <v>116</v>
      </c>
      <c r="M547">
        <v>17</v>
      </c>
      <c r="N547">
        <v>1</v>
      </c>
      <c r="O547" t="s">
        <v>15</v>
      </c>
      <c r="P547">
        <v>1</v>
      </c>
      <c r="Q547" t="s">
        <v>90</v>
      </c>
      <c r="R547" t="s">
        <v>100</v>
      </c>
    </row>
    <row r="548" spans="1:18">
      <c r="A548">
        <v>1757</v>
      </c>
      <c r="B548" t="s">
        <v>99</v>
      </c>
      <c r="C548">
        <v>27</v>
      </c>
      <c r="D548">
        <v>9</v>
      </c>
      <c r="E548" t="s">
        <v>89</v>
      </c>
      <c r="F548" t="s">
        <v>90</v>
      </c>
      <c r="G548" t="s">
        <v>15</v>
      </c>
      <c r="H548" t="s">
        <v>91</v>
      </c>
      <c r="I548">
        <v>20</v>
      </c>
      <c r="J548">
        <v>0</v>
      </c>
      <c r="K548">
        <v>8</v>
      </c>
      <c r="L548" t="s">
        <v>116</v>
      </c>
      <c r="M548">
        <v>17</v>
      </c>
      <c r="N548">
        <v>1</v>
      </c>
      <c r="O548" t="s">
        <v>15</v>
      </c>
      <c r="P548">
        <v>1</v>
      </c>
      <c r="Q548" t="s">
        <v>90</v>
      </c>
      <c r="R548" t="s">
        <v>100</v>
      </c>
    </row>
    <row r="549" spans="1:18">
      <c r="A549">
        <v>1758</v>
      </c>
      <c r="B549" t="s">
        <v>99</v>
      </c>
      <c r="C549">
        <v>28</v>
      </c>
      <c r="D549">
        <v>10</v>
      </c>
      <c r="E549" t="s">
        <v>94</v>
      </c>
      <c r="F549" t="s">
        <v>90</v>
      </c>
      <c r="G549" t="s">
        <v>15</v>
      </c>
      <c r="H549" t="s">
        <v>91</v>
      </c>
      <c r="I549">
        <v>20</v>
      </c>
      <c r="J549">
        <v>0</v>
      </c>
      <c r="K549">
        <v>8</v>
      </c>
      <c r="L549" t="s">
        <v>116</v>
      </c>
      <c r="M549">
        <v>17</v>
      </c>
      <c r="N549">
        <v>1</v>
      </c>
      <c r="O549" t="s">
        <v>15</v>
      </c>
      <c r="P549">
        <v>1</v>
      </c>
      <c r="Q549" t="s">
        <v>90</v>
      </c>
      <c r="R549" t="s">
        <v>100</v>
      </c>
    </row>
    <row r="550" spans="1:18">
      <c r="A550">
        <v>1759</v>
      </c>
      <c r="B550" t="s">
        <v>99</v>
      </c>
      <c r="C550">
        <v>29</v>
      </c>
      <c r="D550">
        <v>9</v>
      </c>
      <c r="E550" t="s">
        <v>89</v>
      </c>
      <c r="F550" t="s">
        <v>90</v>
      </c>
      <c r="G550" t="s">
        <v>15</v>
      </c>
      <c r="H550" t="s">
        <v>91</v>
      </c>
      <c r="I550">
        <v>20</v>
      </c>
      <c r="J550">
        <v>0</v>
      </c>
      <c r="K550">
        <v>8</v>
      </c>
      <c r="L550" t="s">
        <v>116</v>
      </c>
      <c r="M550">
        <v>17</v>
      </c>
      <c r="N550">
        <v>1</v>
      </c>
      <c r="O550" t="s">
        <v>15</v>
      </c>
      <c r="P550">
        <v>1</v>
      </c>
      <c r="Q550" t="s">
        <v>90</v>
      </c>
      <c r="R550" t="s">
        <v>100</v>
      </c>
    </row>
    <row r="551" spans="1:18">
      <c r="A551">
        <v>1760</v>
      </c>
      <c r="B551" t="s">
        <v>99</v>
      </c>
      <c r="C551">
        <v>30</v>
      </c>
      <c r="D551">
        <v>10</v>
      </c>
      <c r="E551" t="s">
        <v>94</v>
      </c>
      <c r="F551" t="s">
        <v>90</v>
      </c>
      <c r="G551" t="s">
        <v>15</v>
      </c>
      <c r="H551" t="s">
        <v>91</v>
      </c>
      <c r="I551">
        <v>20</v>
      </c>
      <c r="J551">
        <v>0</v>
      </c>
      <c r="K551">
        <v>8</v>
      </c>
      <c r="L551" t="s">
        <v>116</v>
      </c>
      <c r="M551">
        <v>17</v>
      </c>
      <c r="N551">
        <v>1</v>
      </c>
      <c r="O551" t="s">
        <v>15</v>
      </c>
      <c r="P551">
        <v>1</v>
      </c>
      <c r="Q551" t="s">
        <v>90</v>
      </c>
      <c r="R551" t="s">
        <v>100</v>
      </c>
    </row>
    <row r="552" spans="1:18">
      <c r="A552">
        <v>1761</v>
      </c>
      <c r="B552" t="s">
        <v>99</v>
      </c>
      <c r="C552">
        <v>31</v>
      </c>
      <c r="D552">
        <v>12</v>
      </c>
      <c r="E552" t="s">
        <v>96</v>
      </c>
      <c r="F552" t="s">
        <v>90</v>
      </c>
      <c r="G552" t="s">
        <v>15</v>
      </c>
      <c r="H552" t="s">
        <v>91</v>
      </c>
      <c r="I552">
        <v>20</v>
      </c>
      <c r="J552">
        <v>0</v>
      </c>
      <c r="K552">
        <v>8</v>
      </c>
      <c r="L552" t="s">
        <v>116</v>
      </c>
      <c r="M552">
        <v>17</v>
      </c>
      <c r="N552">
        <v>1</v>
      </c>
      <c r="O552" t="s">
        <v>15</v>
      </c>
      <c r="P552">
        <v>1</v>
      </c>
      <c r="Q552" t="s">
        <v>90</v>
      </c>
      <c r="R552" t="s">
        <v>100</v>
      </c>
    </row>
    <row r="553" spans="1:18">
      <c r="A553">
        <v>1762</v>
      </c>
      <c r="B553" t="s">
        <v>99</v>
      </c>
      <c r="C553">
        <v>32</v>
      </c>
      <c r="D553">
        <v>12</v>
      </c>
      <c r="E553" t="s">
        <v>96</v>
      </c>
      <c r="F553" t="s">
        <v>90</v>
      </c>
      <c r="G553" t="s">
        <v>15</v>
      </c>
      <c r="H553" t="s">
        <v>91</v>
      </c>
      <c r="I553">
        <v>20</v>
      </c>
      <c r="J553">
        <v>0</v>
      </c>
      <c r="K553">
        <v>8</v>
      </c>
      <c r="L553" t="s">
        <v>116</v>
      </c>
      <c r="M553">
        <v>17</v>
      </c>
      <c r="N553">
        <v>1</v>
      </c>
      <c r="O553" t="s">
        <v>15</v>
      </c>
      <c r="P553">
        <v>1</v>
      </c>
      <c r="Q553" t="s">
        <v>90</v>
      </c>
      <c r="R553" t="s">
        <v>100</v>
      </c>
    </row>
    <row r="554" spans="1:18">
      <c r="A554">
        <v>1763</v>
      </c>
      <c r="B554" t="s">
        <v>99</v>
      </c>
      <c r="C554">
        <v>33</v>
      </c>
      <c r="D554">
        <v>12</v>
      </c>
      <c r="E554" t="s">
        <v>96</v>
      </c>
      <c r="F554" t="s">
        <v>90</v>
      </c>
      <c r="G554" t="s">
        <v>15</v>
      </c>
      <c r="H554" t="s">
        <v>91</v>
      </c>
      <c r="I554">
        <v>20</v>
      </c>
      <c r="J554">
        <v>0</v>
      </c>
      <c r="K554">
        <v>8</v>
      </c>
      <c r="L554" t="s">
        <v>116</v>
      </c>
      <c r="M554">
        <v>17</v>
      </c>
      <c r="N554">
        <v>1</v>
      </c>
      <c r="O554" t="s">
        <v>15</v>
      </c>
      <c r="P554">
        <v>1</v>
      </c>
      <c r="Q554" t="s">
        <v>90</v>
      </c>
      <c r="R554" t="s">
        <v>100</v>
      </c>
    </row>
    <row r="555" spans="1:18">
      <c r="A555">
        <v>1764</v>
      </c>
      <c r="B555" t="s">
        <v>99</v>
      </c>
      <c r="C555">
        <v>34</v>
      </c>
      <c r="D555">
        <v>12</v>
      </c>
      <c r="E555" t="s">
        <v>96</v>
      </c>
      <c r="F555" t="s">
        <v>90</v>
      </c>
      <c r="G555" t="s">
        <v>15</v>
      </c>
      <c r="H555" t="s">
        <v>91</v>
      </c>
      <c r="I555">
        <v>20</v>
      </c>
      <c r="J555">
        <v>0</v>
      </c>
      <c r="K555">
        <v>8</v>
      </c>
      <c r="L555" t="s">
        <v>116</v>
      </c>
      <c r="M555">
        <v>17</v>
      </c>
      <c r="N555">
        <v>1</v>
      </c>
      <c r="O555" t="s">
        <v>15</v>
      </c>
      <c r="P555">
        <v>1</v>
      </c>
      <c r="Q555" t="s">
        <v>90</v>
      </c>
      <c r="R555" t="s">
        <v>100</v>
      </c>
    </row>
    <row r="556" spans="1:18">
      <c r="A556">
        <v>1765</v>
      </c>
      <c r="B556" t="s">
        <v>99</v>
      </c>
      <c r="C556">
        <v>35</v>
      </c>
      <c r="D556">
        <v>12</v>
      </c>
      <c r="E556" t="s">
        <v>96</v>
      </c>
      <c r="F556" t="s">
        <v>90</v>
      </c>
      <c r="G556" t="s">
        <v>15</v>
      </c>
      <c r="H556" t="s">
        <v>91</v>
      </c>
      <c r="I556">
        <v>20</v>
      </c>
      <c r="J556">
        <v>0</v>
      </c>
      <c r="K556">
        <v>8</v>
      </c>
      <c r="L556" t="s">
        <v>116</v>
      </c>
      <c r="M556">
        <v>17</v>
      </c>
      <c r="N556">
        <v>1</v>
      </c>
      <c r="O556" t="s">
        <v>15</v>
      </c>
      <c r="P556">
        <v>1</v>
      </c>
      <c r="Q556" t="s">
        <v>90</v>
      </c>
      <c r="R556" t="s">
        <v>100</v>
      </c>
    </row>
    <row r="557" spans="1:18">
      <c r="A557">
        <v>1766</v>
      </c>
      <c r="B557" t="s">
        <v>99</v>
      </c>
      <c r="C557">
        <v>36</v>
      </c>
      <c r="D557">
        <v>12</v>
      </c>
      <c r="E557" t="s">
        <v>96</v>
      </c>
      <c r="F557" t="s">
        <v>90</v>
      </c>
      <c r="G557" t="s">
        <v>15</v>
      </c>
      <c r="H557" t="s">
        <v>91</v>
      </c>
      <c r="I557">
        <v>20</v>
      </c>
      <c r="J557">
        <v>0</v>
      </c>
      <c r="K557">
        <v>8</v>
      </c>
      <c r="L557" t="s">
        <v>116</v>
      </c>
      <c r="M557">
        <v>17</v>
      </c>
      <c r="N557">
        <v>1</v>
      </c>
      <c r="O557" t="s">
        <v>15</v>
      </c>
      <c r="P557">
        <v>1</v>
      </c>
      <c r="Q557" t="s">
        <v>90</v>
      </c>
      <c r="R557" t="s">
        <v>100</v>
      </c>
    </row>
    <row r="558" spans="1:18">
      <c r="A558">
        <v>1767</v>
      </c>
      <c r="B558" t="s">
        <v>99</v>
      </c>
      <c r="C558">
        <v>37</v>
      </c>
      <c r="D558">
        <v>12</v>
      </c>
      <c r="E558" t="s">
        <v>96</v>
      </c>
      <c r="F558" t="s">
        <v>90</v>
      </c>
      <c r="G558" t="s">
        <v>15</v>
      </c>
      <c r="H558" t="s">
        <v>91</v>
      </c>
      <c r="I558">
        <v>20</v>
      </c>
      <c r="J558">
        <v>0</v>
      </c>
      <c r="K558">
        <v>8</v>
      </c>
      <c r="L558" t="s">
        <v>116</v>
      </c>
      <c r="M558">
        <v>17</v>
      </c>
      <c r="N558">
        <v>1</v>
      </c>
      <c r="O558" t="s">
        <v>15</v>
      </c>
      <c r="P558">
        <v>1</v>
      </c>
      <c r="Q558" t="s">
        <v>90</v>
      </c>
      <c r="R558" t="s">
        <v>100</v>
      </c>
    </row>
    <row r="559" spans="1:18">
      <c r="A559">
        <v>1768</v>
      </c>
      <c r="B559" t="s">
        <v>99</v>
      </c>
      <c r="C559">
        <v>38</v>
      </c>
      <c r="D559">
        <v>12</v>
      </c>
      <c r="E559" t="s">
        <v>96</v>
      </c>
      <c r="F559" t="s">
        <v>90</v>
      </c>
      <c r="G559" t="s">
        <v>15</v>
      </c>
      <c r="H559" t="s">
        <v>91</v>
      </c>
      <c r="I559">
        <v>20</v>
      </c>
      <c r="J559">
        <v>0</v>
      </c>
      <c r="K559">
        <v>8</v>
      </c>
      <c r="L559" t="s">
        <v>116</v>
      </c>
      <c r="M559">
        <v>17</v>
      </c>
      <c r="N559">
        <v>1</v>
      </c>
      <c r="O559" t="s">
        <v>15</v>
      </c>
      <c r="P559">
        <v>1</v>
      </c>
      <c r="Q559" t="s">
        <v>90</v>
      </c>
      <c r="R559" t="s">
        <v>100</v>
      </c>
    </row>
    <row r="560" spans="1:18">
      <c r="A560">
        <v>1769</v>
      </c>
      <c r="B560" t="s">
        <v>99</v>
      </c>
      <c r="C560">
        <v>39</v>
      </c>
      <c r="D560">
        <v>12</v>
      </c>
      <c r="E560" t="s">
        <v>96</v>
      </c>
      <c r="F560" t="s">
        <v>90</v>
      </c>
      <c r="G560" t="s">
        <v>15</v>
      </c>
      <c r="H560" t="s">
        <v>91</v>
      </c>
      <c r="I560">
        <v>20</v>
      </c>
      <c r="J560">
        <v>0</v>
      </c>
      <c r="K560">
        <v>8</v>
      </c>
      <c r="L560" t="s">
        <v>116</v>
      </c>
      <c r="M560">
        <v>17</v>
      </c>
      <c r="N560">
        <v>1</v>
      </c>
      <c r="O560" t="s">
        <v>15</v>
      </c>
      <c r="P560">
        <v>1</v>
      </c>
      <c r="Q560" t="s">
        <v>90</v>
      </c>
      <c r="R560" t="s">
        <v>100</v>
      </c>
    </row>
    <row r="561" spans="1:18">
      <c r="A561">
        <v>1770</v>
      </c>
      <c r="B561" t="s">
        <v>99</v>
      </c>
      <c r="C561">
        <v>40</v>
      </c>
      <c r="D561">
        <v>12</v>
      </c>
      <c r="E561" t="s">
        <v>96</v>
      </c>
      <c r="F561" t="s">
        <v>90</v>
      </c>
      <c r="G561" t="s">
        <v>15</v>
      </c>
      <c r="H561" t="s">
        <v>91</v>
      </c>
      <c r="I561">
        <v>20</v>
      </c>
      <c r="J561">
        <v>0</v>
      </c>
      <c r="K561">
        <v>8</v>
      </c>
      <c r="L561" t="s">
        <v>116</v>
      </c>
      <c r="M561">
        <v>17</v>
      </c>
      <c r="N561">
        <v>1</v>
      </c>
      <c r="O561" t="s">
        <v>15</v>
      </c>
      <c r="P561">
        <v>1</v>
      </c>
      <c r="Q561" t="s">
        <v>90</v>
      </c>
      <c r="R561" t="s">
        <v>100</v>
      </c>
    </row>
    <row r="562" spans="1:18">
      <c r="A562">
        <v>1771</v>
      </c>
      <c r="B562" t="s">
        <v>101</v>
      </c>
      <c r="C562">
        <v>1</v>
      </c>
      <c r="D562">
        <v>9</v>
      </c>
      <c r="E562" t="s">
        <v>89</v>
      </c>
      <c r="F562" t="s">
        <v>90</v>
      </c>
      <c r="G562" t="s">
        <v>15</v>
      </c>
      <c r="H562" t="s">
        <v>91</v>
      </c>
      <c r="I562">
        <v>20</v>
      </c>
      <c r="J562">
        <v>0</v>
      </c>
      <c r="K562">
        <v>8</v>
      </c>
      <c r="L562" t="s">
        <v>116</v>
      </c>
      <c r="M562">
        <v>18</v>
      </c>
      <c r="N562">
        <v>1</v>
      </c>
      <c r="O562" t="s">
        <v>15</v>
      </c>
      <c r="P562">
        <v>1</v>
      </c>
      <c r="Q562" t="s">
        <v>90</v>
      </c>
      <c r="R562" t="s">
        <v>102</v>
      </c>
    </row>
    <row r="563" spans="1:18">
      <c r="A563">
        <v>1772</v>
      </c>
      <c r="B563" t="s">
        <v>101</v>
      </c>
      <c r="C563">
        <v>2</v>
      </c>
      <c r="D563">
        <v>10</v>
      </c>
      <c r="E563" t="s">
        <v>94</v>
      </c>
      <c r="F563" t="s">
        <v>90</v>
      </c>
      <c r="G563" t="s">
        <v>15</v>
      </c>
      <c r="H563" t="s">
        <v>91</v>
      </c>
      <c r="I563">
        <v>20</v>
      </c>
      <c r="J563">
        <v>0</v>
      </c>
      <c r="K563">
        <v>8</v>
      </c>
      <c r="L563" t="s">
        <v>116</v>
      </c>
      <c r="M563">
        <v>18</v>
      </c>
      <c r="N563">
        <v>1</v>
      </c>
      <c r="O563" t="s">
        <v>15</v>
      </c>
      <c r="P563">
        <v>1</v>
      </c>
      <c r="Q563" t="s">
        <v>90</v>
      </c>
      <c r="R563" t="s">
        <v>102</v>
      </c>
    </row>
    <row r="564" spans="1:18">
      <c r="A564">
        <v>1773</v>
      </c>
      <c r="B564" t="s">
        <v>101</v>
      </c>
      <c r="C564">
        <v>3</v>
      </c>
      <c r="D564">
        <v>9</v>
      </c>
      <c r="E564" t="s">
        <v>89</v>
      </c>
      <c r="F564" t="s">
        <v>90</v>
      </c>
      <c r="G564" t="s">
        <v>15</v>
      </c>
      <c r="H564" t="s">
        <v>91</v>
      </c>
      <c r="I564">
        <v>20</v>
      </c>
      <c r="J564">
        <v>0</v>
      </c>
      <c r="K564">
        <v>8</v>
      </c>
      <c r="L564" t="s">
        <v>116</v>
      </c>
      <c r="M564">
        <v>18</v>
      </c>
      <c r="N564">
        <v>1</v>
      </c>
      <c r="O564" t="s">
        <v>15</v>
      </c>
      <c r="P564">
        <v>1</v>
      </c>
      <c r="Q564" t="s">
        <v>90</v>
      </c>
      <c r="R564" t="s">
        <v>102</v>
      </c>
    </row>
    <row r="565" spans="1:18">
      <c r="A565">
        <v>1774</v>
      </c>
      <c r="B565" t="s">
        <v>101</v>
      </c>
      <c r="C565">
        <v>4</v>
      </c>
      <c r="D565">
        <v>9</v>
      </c>
      <c r="E565" t="s">
        <v>89</v>
      </c>
      <c r="F565" t="s">
        <v>90</v>
      </c>
      <c r="G565" t="s">
        <v>15</v>
      </c>
      <c r="H565" t="s">
        <v>91</v>
      </c>
      <c r="I565">
        <v>20</v>
      </c>
      <c r="J565">
        <v>0</v>
      </c>
      <c r="K565">
        <v>8</v>
      </c>
      <c r="L565" t="s">
        <v>116</v>
      </c>
      <c r="M565">
        <v>18</v>
      </c>
      <c r="N565">
        <v>1</v>
      </c>
      <c r="O565" t="s">
        <v>15</v>
      </c>
      <c r="P565">
        <v>1</v>
      </c>
      <c r="Q565" t="s">
        <v>90</v>
      </c>
      <c r="R565" t="s">
        <v>102</v>
      </c>
    </row>
    <row r="566" spans="1:18">
      <c r="A566">
        <v>1775</v>
      </c>
      <c r="B566" t="s">
        <v>101</v>
      </c>
      <c r="C566">
        <v>5</v>
      </c>
      <c r="D566">
        <v>9</v>
      </c>
      <c r="E566" t="s">
        <v>89</v>
      </c>
      <c r="F566" t="s">
        <v>90</v>
      </c>
      <c r="G566" t="s">
        <v>15</v>
      </c>
      <c r="H566" t="s">
        <v>91</v>
      </c>
      <c r="I566">
        <v>20</v>
      </c>
      <c r="J566">
        <v>0</v>
      </c>
      <c r="K566">
        <v>8</v>
      </c>
      <c r="L566" t="s">
        <v>116</v>
      </c>
      <c r="M566">
        <v>18</v>
      </c>
      <c r="N566">
        <v>1</v>
      </c>
      <c r="O566" t="s">
        <v>15</v>
      </c>
      <c r="P566">
        <v>1</v>
      </c>
      <c r="Q566" t="s">
        <v>90</v>
      </c>
      <c r="R566" t="s">
        <v>102</v>
      </c>
    </row>
    <row r="567" spans="1:18">
      <c r="A567">
        <v>1776</v>
      </c>
      <c r="B567" t="s">
        <v>101</v>
      </c>
      <c r="C567">
        <v>6</v>
      </c>
      <c r="D567">
        <v>10</v>
      </c>
      <c r="E567" t="s">
        <v>94</v>
      </c>
      <c r="F567" t="s">
        <v>90</v>
      </c>
      <c r="G567" t="s">
        <v>15</v>
      </c>
      <c r="H567" t="s">
        <v>91</v>
      </c>
      <c r="I567">
        <v>20</v>
      </c>
      <c r="J567">
        <v>0</v>
      </c>
      <c r="K567">
        <v>8</v>
      </c>
      <c r="L567" t="s">
        <v>116</v>
      </c>
      <c r="M567">
        <v>18</v>
      </c>
      <c r="N567">
        <v>1</v>
      </c>
      <c r="O567" t="s">
        <v>15</v>
      </c>
      <c r="P567">
        <v>1</v>
      </c>
      <c r="Q567" t="s">
        <v>90</v>
      </c>
      <c r="R567" t="s">
        <v>102</v>
      </c>
    </row>
    <row r="568" spans="1:18">
      <c r="A568">
        <v>1777</v>
      </c>
      <c r="B568" t="s">
        <v>101</v>
      </c>
      <c r="C568">
        <v>7</v>
      </c>
      <c r="D568">
        <v>10</v>
      </c>
      <c r="E568" t="s">
        <v>94</v>
      </c>
      <c r="F568" t="s">
        <v>90</v>
      </c>
      <c r="G568" t="s">
        <v>15</v>
      </c>
      <c r="H568" t="s">
        <v>91</v>
      </c>
      <c r="I568">
        <v>20</v>
      </c>
      <c r="J568">
        <v>0</v>
      </c>
      <c r="K568">
        <v>8</v>
      </c>
      <c r="L568" t="s">
        <v>116</v>
      </c>
      <c r="M568">
        <v>18</v>
      </c>
      <c r="N568">
        <v>1</v>
      </c>
      <c r="O568" t="s">
        <v>15</v>
      </c>
      <c r="P568">
        <v>1</v>
      </c>
      <c r="Q568" t="s">
        <v>90</v>
      </c>
      <c r="R568" t="s">
        <v>102</v>
      </c>
    </row>
    <row r="569" spans="1:18">
      <c r="A569">
        <v>1778</v>
      </c>
      <c r="B569" t="s">
        <v>101</v>
      </c>
      <c r="C569">
        <v>8</v>
      </c>
      <c r="D569">
        <v>10</v>
      </c>
      <c r="E569" t="s">
        <v>94</v>
      </c>
      <c r="F569" t="s">
        <v>90</v>
      </c>
      <c r="G569" t="s">
        <v>15</v>
      </c>
      <c r="H569" t="s">
        <v>91</v>
      </c>
      <c r="I569">
        <v>20</v>
      </c>
      <c r="J569">
        <v>0</v>
      </c>
      <c r="K569">
        <v>8</v>
      </c>
      <c r="L569" t="s">
        <v>116</v>
      </c>
      <c r="M569">
        <v>18</v>
      </c>
      <c r="N569">
        <v>1</v>
      </c>
      <c r="O569" t="s">
        <v>15</v>
      </c>
      <c r="P569">
        <v>1</v>
      </c>
      <c r="Q569" t="s">
        <v>90</v>
      </c>
      <c r="R569" t="s">
        <v>102</v>
      </c>
    </row>
    <row r="570" spans="1:18">
      <c r="A570">
        <v>1779</v>
      </c>
      <c r="B570" t="s">
        <v>101</v>
      </c>
      <c r="C570">
        <v>9</v>
      </c>
      <c r="D570">
        <v>10</v>
      </c>
      <c r="E570" t="s">
        <v>94</v>
      </c>
      <c r="F570" t="s">
        <v>90</v>
      </c>
      <c r="G570" t="s">
        <v>15</v>
      </c>
      <c r="H570" t="s">
        <v>91</v>
      </c>
      <c r="I570">
        <v>20</v>
      </c>
      <c r="J570">
        <v>0</v>
      </c>
      <c r="K570">
        <v>8</v>
      </c>
      <c r="L570" t="s">
        <v>116</v>
      </c>
      <c r="M570">
        <v>18</v>
      </c>
      <c r="N570">
        <v>1</v>
      </c>
      <c r="O570" t="s">
        <v>15</v>
      </c>
      <c r="P570">
        <v>1</v>
      </c>
      <c r="Q570" t="s">
        <v>90</v>
      </c>
      <c r="R570" t="s">
        <v>102</v>
      </c>
    </row>
    <row r="571" spans="1:18">
      <c r="A571">
        <v>1780</v>
      </c>
      <c r="B571" t="s">
        <v>101</v>
      </c>
      <c r="C571">
        <v>10</v>
      </c>
      <c r="D571">
        <v>9</v>
      </c>
      <c r="E571" t="s">
        <v>89</v>
      </c>
      <c r="F571" t="s">
        <v>90</v>
      </c>
      <c r="G571" t="s">
        <v>15</v>
      </c>
      <c r="H571" t="s">
        <v>91</v>
      </c>
      <c r="I571">
        <v>20</v>
      </c>
      <c r="J571">
        <v>0</v>
      </c>
      <c r="K571">
        <v>8</v>
      </c>
      <c r="L571" t="s">
        <v>116</v>
      </c>
      <c r="M571">
        <v>18</v>
      </c>
      <c r="N571">
        <v>1</v>
      </c>
      <c r="O571" t="s">
        <v>15</v>
      </c>
      <c r="P571">
        <v>1</v>
      </c>
      <c r="Q571" t="s">
        <v>90</v>
      </c>
      <c r="R571" t="s">
        <v>102</v>
      </c>
    </row>
    <row r="572" spans="1:18">
      <c r="A572">
        <v>1781</v>
      </c>
      <c r="B572" t="s">
        <v>101</v>
      </c>
      <c r="C572">
        <v>11</v>
      </c>
      <c r="D572">
        <v>11</v>
      </c>
      <c r="E572" t="s">
        <v>95</v>
      </c>
      <c r="F572" t="s">
        <v>90</v>
      </c>
      <c r="G572" t="s">
        <v>15</v>
      </c>
      <c r="H572" t="s">
        <v>91</v>
      </c>
      <c r="I572">
        <v>20</v>
      </c>
      <c r="J572">
        <v>0</v>
      </c>
      <c r="K572">
        <v>8</v>
      </c>
      <c r="L572" t="s">
        <v>116</v>
      </c>
      <c r="M572">
        <v>18</v>
      </c>
      <c r="N572">
        <v>1</v>
      </c>
      <c r="O572" t="s">
        <v>15</v>
      </c>
      <c r="P572">
        <v>1</v>
      </c>
      <c r="Q572" t="s">
        <v>90</v>
      </c>
      <c r="R572" t="s">
        <v>102</v>
      </c>
    </row>
    <row r="573" spans="1:18">
      <c r="A573">
        <v>1782</v>
      </c>
      <c r="B573" t="s">
        <v>101</v>
      </c>
      <c r="C573">
        <v>12</v>
      </c>
      <c r="D573">
        <v>11</v>
      </c>
      <c r="E573" t="s">
        <v>95</v>
      </c>
      <c r="F573" t="s">
        <v>90</v>
      </c>
      <c r="G573" t="s">
        <v>15</v>
      </c>
      <c r="H573" t="s">
        <v>91</v>
      </c>
      <c r="I573">
        <v>20</v>
      </c>
      <c r="J573">
        <v>0</v>
      </c>
      <c r="K573">
        <v>8</v>
      </c>
      <c r="L573" t="s">
        <v>116</v>
      </c>
      <c r="M573">
        <v>18</v>
      </c>
      <c r="N573">
        <v>1</v>
      </c>
      <c r="O573" t="s">
        <v>15</v>
      </c>
      <c r="P573">
        <v>1</v>
      </c>
      <c r="Q573" t="s">
        <v>90</v>
      </c>
      <c r="R573" t="s">
        <v>102</v>
      </c>
    </row>
    <row r="574" spans="1:18">
      <c r="A574">
        <v>1783</v>
      </c>
      <c r="B574" t="s">
        <v>101</v>
      </c>
      <c r="C574">
        <v>13</v>
      </c>
      <c r="D574">
        <v>11</v>
      </c>
      <c r="E574" t="s">
        <v>95</v>
      </c>
      <c r="F574" t="s">
        <v>90</v>
      </c>
      <c r="G574" t="s">
        <v>15</v>
      </c>
      <c r="H574" t="s">
        <v>91</v>
      </c>
      <c r="I574">
        <v>20</v>
      </c>
      <c r="J574">
        <v>0</v>
      </c>
      <c r="K574">
        <v>8</v>
      </c>
      <c r="L574" t="s">
        <v>116</v>
      </c>
      <c r="M574">
        <v>18</v>
      </c>
      <c r="N574">
        <v>1</v>
      </c>
      <c r="O574" t="s">
        <v>15</v>
      </c>
      <c r="P574">
        <v>1</v>
      </c>
      <c r="Q574" t="s">
        <v>90</v>
      </c>
      <c r="R574" t="s">
        <v>102</v>
      </c>
    </row>
    <row r="575" spans="1:18">
      <c r="A575">
        <v>1784</v>
      </c>
      <c r="B575" t="s">
        <v>101</v>
      </c>
      <c r="C575">
        <v>14</v>
      </c>
      <c r="D575">
        <v>11</v>
      </c>
      <c r="E575" t="s">
        <v>95</v>
      </c>
      <c r="F575" t="s">
        <v>90</v>
      </c>
      <c r="G575" t="s">
        <v>15</v>
      </c>
      <c r="H575" t="s">
        <v>91</v>
      </c>
      <c r="I575">
        <v>20</v>
      </c>
      <c r="J575">
        <v>0</v>
      </c>
      <c r="K575">
        <v>8</v>
      </c>
      <c r="L575" t="s">
        <v>116</v>
      </c>
      <c r="M575">
        <v>18</v>
      </c>
      <c r="N575">
        <v>1</v>
      </c>
      <c r="O575" t="s">
        <v>15</v>
      </c>
      <c r="P575">
        <v>1</v>
      </c>
      <c r="Q575" t="s">
        <v>90</v>
      </c>
      <c r="R575" t="s">
        <v>102</v>
      </c>
    </row>
    <row r="576" spans="1:18">
      <c r="A576">
        <v>1785</v>
      </c>
      <c r="B576" t="s">
        <v>101</v>
      </c>
      <c r="C576">
        <v>15</v>
      </c>
      <c r="D576">
        <v>11</v>
      </c>
      <c r="E576" t="s">
        <v>95</v>
      </c>
      <c r="F576" t="s">
        <v>90</v>
      </c>
      <c r="G576" t="s">
        <v>15</v>
      </c>
      <c r="H576" t="s">
        <v>91</v>
      </c>
      <c r="I576">
        <v>20</v>
      </c>
      <c r="J576">
        <v>0</v>
      </c>
      <c r="K576">
        <v>8</v>
      </c>
      <c r="L576" t="s">
        <v>116</v>
      </c>
      <c r="M576">
        <v>18</v>
      </c>
      <c r="N576">
        <v>1</v>
      </c>
      <c r="O576" t="s">
        <v>15</v>
      </c>
      <c r="P576">
        <v>1</v>
      </c>
      <c r="Q576" t="s">
        <v>90</v>
      </c>
      <c r="R576" t="s">
        <v>102</v>
      </c>
    </row>
    <row r="577" spans="1:18">
      <c r="A577">
        <v>1786</v>
      </c>
      <c r="B577" t="s">
        <v>101</v>
      </c>
      <c r="C577">
        <v>16</v>
      </c>
      <c r="D577">
        <v>11</v>
      </c>
      <c r="E577" t="s">
        <v>95</v>
      </c>
      <c r="F577" t="s">
        <v>90</v>
      </c>
      <c r="G577" t="s">
        <v>15</v>
      </c>
      <c r="H577" t="s">
        <v>91</v>
      </c>
      <c r="I577">
        <v>20</v>
      </c>
      <c r="J577">
        <v>0</v>
      </c>
      <c r="K577">
        <v>8</v>
      </c>
      <c r="L577" t="s">
        <v>116</v>
      </c>
      <c r="M577">
        <v>18</v>
      </c>
      <c r="N577">
        <v>1</v>
      </c>
      <c r="O577" t="s">
        <v>15</v>
      </c>
      <c r="P577">
        <v>1</v>
      </c>
      <c r="Q577" t="s">
        <v>90</v>
      </c>
      <c r="R577" t="s">
        <v>102</v>
      </c>
    </row>
    <row r="578" spans="1:18">
      <c r="A578">
        <v>1787</v>
      </c>
      <c r="B578" t="s">
        <v>101</v>
      </c>
      <c r="C578">
        <v>17</v>
      </c>
      <c r="D578">
        <v>11</v>
      </c>
      <c r="E578" t="s">
        <v>95</v>
      </c>
      <c r="F578" t="s">
        <v>90</v>
      </c>
      <c r="G578" t="s">
        <v>15</v>
      </c>
      <c r="H578" t="s">
        <v>91</v>
      </c>
      <c r="I578">
        <v>20</v>
      </c>
      <c r="J578">
        <v>0</v>
      </c>
      <c r="K578">
        <v>8</v>
      </c>
      <c r="L578" t="s">
        <v>116</v>
      </c>
      <c r="M578">
        <v>18</v>
      </c>
      <c r="N578">
        <v>1</v>
      </c>
      <c r="O578" t="s">
        <v>15</v>
      </c>
      <c r="P578">
        <v>1</v>
      </c>
      <c r="Q578" t="s">
        <v>90</v>
      </c>
      <c r="R578" t="s">
        <v>102</v>
      </c>
    </row>
    <row r="579" spans="1:18">
      <c r="A579">
        <v>1788</v>
      </c>
      <c r="B579" t="s">
        <v>101</v>
      </c>
      <c r="C579">
        <v>18</v>
      </c>
      <c r="D579">
        <v>11</v>
      </c>
      <c r="E579" t="s">
        <v>95</v>
      </c>
      <c r="F579" t="s">
        <v>90</v>
      </c>
      <c r="G579" t="s">
        <v>15</v>
      </c>
      <c r="H579" t="s">
        <v>91</v>
      </c>
      <c r="I579">
        <v>20</v>
      </c>
      <c r="J579">
        <v>0</v>
      </c>
      <c r="K579">
        <v>8</v>
      </c>
      <c r="L579" t="s">
        <v>116</v>
      </c>
      <c r="M579">
        <v>18</v>
      </c>
      <c r="N579">
        <v>1</v>
      </c>
      <c r="O579" t="s">
        <v>15</v>
      </c>
      <c r="P579">
        <v>1</v>
      </c>
      <c r="Q579" t="s">
        <v>90</v>
      </c>
      <c r="R579" t="s">
        <v>102</v>
      </c>
    </row>
    <row r="580" spans="1:18">
      <c r="A580">
        <v>1789</v>
      </c>
      <c r="B580" t="s">
        <v>101</v>
      </c>
      <c r="C580">
        <v>19</v>
      </c>
      <c r="D580">
        <v>11</v>
      </c>
      <c r="E580" t="s">
        <v>95</v>
      </c>
      <c r="F580" t="s">
        <v>90</v>
      </c>
      <c r="G580" t="s">
        <v>15</v>
      </c>
      <c r="H580" t="s">
        <v>91</v>
      </c>
      <c r="I580">
        <v>20</v>
      </c>
      <c r="J580">
        <v>0</v>
      </c>
      <c r="K580">
        <v>8</v>
      </c>
      <c r="L580" t="s">
        <v>116</v>
      </c>
      <c r="M580">
        <v>18</v>
      </c>
      <c r="N580">
        <v>1</v>
      </c>
      <c r="O580" t="s">
        <v>15</v>
      </c>
      <c r="P580">
        <v>1</v>
      </c>
      <c r="Q580" t="s">
        <v>90</v>
      </c>
      <c r="R580" t="s">
        <v>102</v>
      </c>
    </row>
    <row r="581" spans="1:18">
      <c r="A581">
        <v>1790</v>
      </c>
      <c r="B581" t="s">
        <v>101</v>
      </c>
      <c r="C581">
        <v>20</v>
      </c>
      <c r="D581">
        <v>11</v>
      </c>
      <c r="E581" t="s">
        <v>95</v>
      </c>
      <c r="F581" t="s">
        <v>90</v>
      </c>
      <c r="G581" t="s">
        <v>15</v>
      </c>
      <c r="H581" t="s">
        <v>91</v>
      </c>
      <c r="I581">
        <v>20</v>
      </c>
      <c r="J581">
        <v>0</v>
      </c>
      <c r="K581">
        <v>8</v>
      </c>
      <c r="L581" t="s">
        <v>116</v>
      </c>
      <c r="M581">
        <v>18</v>
      </c>
      <c r="N581">
        <v>1</v>
      </c>
      <c r="O581" t="s">
        <v>15</v>
      </c>
      <c r="P581">
        <v>1</v>
      </c>
      <c r="Q581" t="s">
        <v>90</v>
      </c>
      <c r="R581" t="s">
        <v>102</v>
      </c>
    </row>
    <row r="582" spans="1:18">
      <c r="A582">
        <v>1791</v>
      </c>
      <c r="B582" t="s">
        <v>101</v>
      </c>
      <c r="C582">
        <v>21</v>
      </c>
      <c r="D582">
        <v>9</v>
      </c>
      <c r="E582" t="s">
        <v>89</v>
      </c>
      <c r="F582" t="s">
        <v>90</v>
      </c>
      <c r="G582" t="s">
        <v>15</v>
      </c>
      <c r="H582" t="s">
        <v>91</v>
      </c>
      <c r="I582">
        <v>20</v>
      </c>
      <c r="J582">
        <v>0</v>
      </c>
      <c r="K582">
        <v>8</v>
      </c>
      <c r="L582" t="s">
        <v>116</v>
      </c>
      <c r="M582">
        <v>18</v>
      </c>
      <c r="N582">
        <v>1</v>
      </c>
      <c r="O582" t="s">
        <v>15</v>
      </c>
      <c r="P582">
        <v>1</v>
      </c>
      <c r="Q582" t="s">
        <v>90</v>
      </c>
      <c r="R582" t="s">
        <v>102</v>
      </c>
    </row>
    <row r="583" spans="1:18">
      <c r="A583">
        <v>1792</v>
      </c>
      <c r="B583" t="s">
        <v>101</v>
      </c>
      <c r="C583">
        <v>22</v>
      </c>
      <c r="D583">
        <v>10</v>
      </c>
      <c r="E583" t="s">
        <v>94</v>
      </c>
      <c r="F583" t="s">
        <v>90</v>
      </c>
      <c r="G583" t="s">
        <v>15</v>
      </c>
      <c r="H583" t="s">
        <v>91</v>
      </c>
      <c r="I583">
        <v>20</v>
      </c>
      <c r="J583">
        <v>0</v>
      </c>
      <c r="K583">
        <v>8</v>
      </c>
      <c r="L583" t="s">
        <v>116</v>
      </c>
      <c r="M583">
        <v>18</v>
      </c>
      <c r="N583">
        <v>1</v>
      </c>
      <c r="O583" t="s">
        <v>15</v>
      </c>
      <c r="P583">
        <v>1</v>
      </c>
      <c r="Q583" t="s">
        <v>90</v>
      </c>
      <c r="R583" t="s">
        <v>102</v>
      </c>
    </row>
    <row r="584" spans="1:18">
      <c r="A584">
        <v>1793</v>
      </c>
      <c r="B584" t="s">
        <v>101</v>
      </c>
      <c r="C584">
        <v>23</v>
      </c>
      <c r="D584">
        <v>9</v>
      </c>
      <c r="E584" t="s">
        <v>89</v>
      </c>
      <c r="F584" t="s">
        <v>90</v>
      </c>
      <c r="G584" t="s">
        <v>15</v>
      </c>
      <c r="H584" t="s">
        <v>91</v>
      </c>
      <c r="I584">
        <v>20</v>
      </c>
      <c r="J584">
        <v>0</v>
      </c>
      <c r="K584">
        <v>8</v>
      </c>
      <c r="L584" t="s">
        <v>116</v>
      </c>
      <c r="M584">
        <v>18</v>
      </c>
      <c r="N584">
        <v>1</v>
      </c>
      <c r="O584" t="s">
        <v>15</v>
      </c>
      <c r="P584">
        <v>1</v>
      </c>
      <c r="Q584" t="s">
        <v>90</v>
      </c>
      <c r="R584" t="s">
        <v>102</v>
      </c>
    </row>
    <row r="585" spans="1:18">
      <c r="A585">
        <v>1794</v>
      </c>
      <c r="B585" t="s">
        <v>101</v>
      </c>
      <c r="C585">
        <v>24</v>
      </c>
      <c r="D585">
        <v>10</v>
      </c>
      <c r="E585" t="s">
        <v>94</v>
      </c>
      <c r="F585" t="s">
        <v>90</v>
      </c>
      <c r="G585" t="s">
        <v>15</v>
      </c>
      <c r="H585" t="s">
        <v>91</v>
      </c>
      <c r="I585">
        <v>20</v>
      </c>
      <c r="J585">
        <v>0</v>
      </c>
      <c r="K585">
        <v>8</v>
      </c>
      <c r="L585" t="s">
        <v>116</v>
      </c>
      <c r="M585">
        <v>18</v>
      </c>
      <c r="N585">
        <v>1</v>
      </c>
      <c r="O585" t="s">
        <v>15</v>
      </c>
      <c r="P585">
        <v>1</v>
      </c>
      <c r="Q585" t="s">
        <v>90</v>
      </c>
      <c r="R585" t="s">
        <v>102</v>
      </c>
    </row>
    <row r="586" spans="1:18">
      <c r="A586">
        <v>1795</v>
      </c>
      <c r="B586" t="s">
        <v>101</v>
      </c>
      <c r="C586">
        <v>25</v>
      </c>
      <c r="D586">
        <v>9</v>
      </c>
      <c r="E586" t="s">
        <v>89</v>
      </c>
      <c r="F586" t="s">
        <v>90</v>
      </c>
      <c r="G586" t="s">
        <v>15</v>
      </c>
      <c r="H586" t="s">
        <v>91</v>
      </c>
      <c r="I586">
        <v>20</v>
      </c>
      <c r="J586">
        <v>0</v>
      </c>
      <c r="K586">
        <v>8</v>
      </c>
      <c r="L586" t="s">
        <v>116</v>
      </c>
      <c r="M586">
        <v>18</v>
      </c>
      <c r="N586">
        <v>1</v>
      </c>
      <c r="O586" t="s">
        <v>15</v>
      </c>
      <c r="P586">
        <v>1</v>
      </c>
      <c r="Q586" t="s">
        <v>90</v>
      </c>
      <c r="R586" t="s">
        <v>102</v>
      </c>
    </row>
    <row r="587" spans="1:18">
      <c r="A587">
        <v>1796</v>
      </c>
      <c r="B587" t="s">
        <v>101</v>
      </c>
      <c r="C587">
        <v>26</v>
      </c>
      <c r="D587">
        <v>10</v>
      </c>
      <c r="E587" t="s">
        <v>94</v>
      </c>
      <c r="F587" t="s">
        <v>90</v>
      </c>
      <c r="G587" t="s">
        <v>15</v>
      </c>
      <c r="H587" t="s">
        <v>91</v>
      </c>
      <c r="I587">
        <v>20</v>
      </c>
      <c r="J587">
        <v>0</v>
      </c>
      <c r="K587">
        <v>8</v>
      </c>
      <c r="L587" t="s">
        <v>116</v>
      </c>
      <c r="M587">
        <v>18</v>
      </c>
      <c r="N587">
        <v>1</v>
      </c>
      <c r="O587" t="s">
        <v>15</v>
      </c>
      <c r="P587">
        <v>1</v>
      </c>
      <c r="Q587" t="s">
        <v>90</v>
      </c>
      <c r="R587" t="s">
        <v>102</v>
      </c>
    </row>
    <row r="588" spans="1:18">
      <c r="A588">
        <v>1797</v>
      </c>
      <c r="B588" t="s">
        <v>101</v>
      </c>
      <c r="C588">
        <v>27</v>
      </c>
      <c r="D588">
        <v>9</v>
      </c>
      <c r="E588" t="s">
        <v>89</v>
      </c>
      <c r="F588" t="s">
        <v>90</v>
      </c>
      <c r="G588" t="s">
        <v>15</v>
      </c>
      <c r="H588" t="s">
        <v>91</v>
      </c>
      <c r="I588">
        <v>20</v>
      </c>
      <c r="J588">
        <v>0</v>
      </c>
      <c r="K588">
        <v>8</v>
      </c>
      <c r="L588" t="s">
        <v>116</v>
      </c>
      <c r="M588">
        <v>18</v>
      </c>
      <c r="N588">
        <v>1</v>
      </c>
      <c r="O588" t="s">
        <v>15</v>
      </c>
      <c r="P588">
        <v>1</v>
      </c>
      <c r="Q588" t="s">
        <v>90</v>
      </c>
      <c r="R588" t="s">
        <v>102</v>
      </c>
    </row>
    <row r="589" spans="1:18">
      <c r="A589">
        <v>1798</v>
      </c>
      <c r="B589" t="s">
        <v>101</v>
      </c>
      <c r="C589">
        <v>28</v>
      </c>
      <c r="D589">
        <v>10</v>
      </c>
      <c r="E589" t="s">
        <v>94</v>
      </c>
      <c r="F589" t="s">
        <v>90</v>
      </c>
      <c r="G589" t="s">
        <v>15</v>
      </c>
      <c r="H589" t="s">
        <v>91</v>
      </c>
      <c r="I589">
        <v>20</v>
      </c>
      <c r="J589">
        <v>0</v>
      </c>
      <c r="K589">
        <v>8</v>
      </c>
      <c r="L589" t="s">
        <v>116</v>
      </c>
      <c r="M589">
        <v>18</v>
      </c>
      <c r="N589">
        <v>1</v>
      </c>
      <c r="O589" t="s">
        <v>15</v>
      </c>
      <c r="P589">
        <v>1</v>
      </c>
      <c r="Q589" t="s">
        <v>90</v>
      </c>
      <c r="R589" t="s">
        <v>102</v>
      </c>
    </row>
    <row r="590" spans="1:18">
      <c r="A590">
        <v>1799</v>
      </c>
      <c r="B590" t="s">
        <v>101</v>
      </c>
      <c r="C590">
        <v>29</v>
      </c>
      <c r="D590">
        <v>9</v>
      </c>
      <c r="E590" t="s">
        <v>89</v>
      </c>
      <c r="F590" t="s">
        <v>90</v>
      </c>
      <c r="G590" t="s">
        <v>15</v>
      </c>
      <c r="H590" t="s">
        <v>91</v>
      </c>
      <c r="I590">
        <v>20</v>
      </c>
      <c r="J590">
        <v>0</v>
      </c>
      <c r="K590">
        <v>8</v>
      </c>
      <c r="L590" t="s">
        <v>116</v>
      </c>
      <c r="M590">
        <v>18</v>
      </c>
      <c r="N590">
        <v>1</v>
      </c>
      <c r="O590" t="s">
        <v>15</v>
      </c>
      <c r="P590">
        <v>1</v>
      </c>
      <c r="Q590" t="s">
        <v>90</v>
      </c>
      <c r="R590" t="s">
        <v>102</v>
      </c>
    </row>
    <row r="591" spans="1:18">
      <c r="A591">
        <v>1800</v>
      </c>
      <c r="B591" t="s">
        <v>101</v>
      </c>
      <c r="C591">
        <v>30</v>
      </c>
      <c r="D591">
        <v>10</v>
      </c>
      <c r="E591" t="s">
        <v>94</v>
      </c>
      <c r="F591" t="s">
        <v>90</v>
      </c>
      <c r="G591" t="s">
        <v>15</v>
      </c>
      <c r="H591" t="s">
        <v>91</v>
      </c>
      <c r="I591">
        <v>20</v>
      </c>
      <c r="J591">
        <v>0</v>
      </c>
      <c r="K591">
        <v>8</v>
      </c>
      <c r="L591" t="s">
        <v>116</v>
      </c>
      <c r="M591">
        <v>18</v>
      </c>
      <c r="N591">
        <v>1</v>
      </c>
      <c r="O591" t="s">
        <v>15</v>
      </c>
      <c r="P591">
        <v>1</v>
      </c>
      <c r="Q591" t="s">
        <v>90</v>
      </c>
      <c r="R591" t="s">
        <v>102</v>
      </c>
    </row>
    <row r="592" spans="1:18">
      <c r="A592">
        <v>1801</v>
      </c>
      <c r="B592" t="s">
        <v>101</v>
      </c>
      <c r="C592">
        <v>31</v>
      </c>
      <c r="D592">
        <v>12</v>
      </c>
      <c r="E592" t="s">
        <v>96</v>
      </c>
      <c r="F592" t="s">
        <v>90</v>
      </c>
      <c r="G592" t="s">
        <v>15</v>
      </c>
      <c r="H592" t="s">
        <v>91</v>
      </c>
      <c r="I592">
        <v>20</v>
      </c>
      <c r="J592">
        <v>0</v>
      </c>
      <c r="K592">
        <v>8</v>
      </c>
      <c r="L592" t="s">
        <v>116</v>
      </c>
      <c r="M592">
        <v>18</v>
      </c>
      <c r="N592">
        <v>1</v>
      </c>
      <c r="O592" t="s">
        <v>15</v>
      </c>
      <c r="P592">
        <v>1</v>
      </c>
      <c r="Q592" t="s">
        <v>90</v>
      </c>
      <c r="R592" t="s">
        <v>102</v>
      </c>
    </row>
    <row r="593" spans="1:18">
      <c r="A593">
        <v>1802</v>
      </c>
      <c r="B593" t="s">
        <v>101</v>
      </c>
      <c r="C593">
        <v>32</v>
      </c>
      <c r="D593">
        <v>12</v>
      </c>
      <c r="E593" t="s">
        <v>96</v>
      </c>
      <c r="F593" t="s">
        <v>90</v>
      </c>
      <c r="G593" t="s">
        <v>15</v>
      </c>
      <c r="H593" t="s">
        <v>91</v>
      </c>
      <c r="I593">
        <v>20</v>
      </c>
      <c r="J593">
        <v>0</v>
      </c>
      <c r="K593">
        <v>8</v>
      </c>
      <c r="L593" t="s">
        <v>116</v>
      </c>
      <c r="M593">
        <v>18</v>
      </c>
      <c r="N593">
        <v>1</v>
      </c>
      <c r="O593" t="s">
        <v>15</v>
      </c>
      <c r="P593">
        <v>1</v>
      </c>
      <c r="Q593" t="s">
        <v>90</v>
      </c>
      <c r="R593" t="s">
        <v>102</v>
      </c>
    </row>
    <row r="594" spans="1:18">
      <c r="A594">
        <v>1803</v>
      </c>
      <c r="B594" t="s">
        <v>101</v>
      </c>
      <c r="C594">
        <v>33</v>
      </c>
      <c r="D594">
        <v>12</v>
      </c>
      <c r="E594" t="s">
        <v>96</v>
      </c>
      <c r="F594" t="s">
        <v>90</v>
      </c>
      <c r="G594" t="s">
        <v>15</v>
      </c>
      <c r="H594" t="s">
        <v>91</v>
      </c>
      <c r="I594">
        <v>20</v>
      </c>
      <c r="J594">
        <v>0</v>
      </c>
      <c r="K594">
        <v>8</v>
      </c>
      <c r="L594" t="s">
        <v>116</v>
      </c>
      <c r="M594">
        <v>18</v>
      </c>
      <c r="N594">
        <v>1</v>
      </c>
      <c r="O594" t="s">
        <v>15</v>
      </c>
      <c r="P594">
        <v>1</v>
      </c>
      <c r="Q594" t="s">
        <v>90</v>
      </c>
      <c r="R594" t="s">
        <v>102</v>
      </c>
    </row>
    <row r="595" spans="1:18">
      <c r="A595">
        <v>1804</v>
      </c>
      <c r="B595" t="s">
        <v>101</v>
      </c>
      <c r="C595">
        <v>34</v>
      </c>
      <c r="D595">
        <v>12</v>
      </c>
      <c r="E595" t="s">
        <v>96</v>
      </c>
      <c r="F595" t="s">
        <v>90</v>
      </c>
      <c r="G595" t="s">
        <v>15</v>
      </c>
      <c r="H595" t="s">
        <v>91</v>
      </c>
      <c r="I595">
        <v>20</v>
      </c>
      <c r="J595">
        <v>0</v>
      </c>
      <c r="K595">
        <v>8</v>
      </c>
      <c r="L595" t="s">
        <v>116</v>
      </c>
      <c r="M595">
        <v>18</v>
      </c>
      <c r="N595">
        <v>1</v>
      </c>
      <c r="O595" t="s">
        <v>15</v>
      </c>
      <c r="P595">
        <v>1</v>
      </c>
      <c r="Q595" t="s">
        <v>90</v>
      </c>
      <c r="R595" t="s">
        <v>102</v>
      </c>
    </row>
    <row r="596" spans="1:18">
      <c r="A596">
        <v>1805</v>
      </c>
      <c r="B596" t="s">
        <v>101</v>
      </c>
      <c r="C596">
        <v>35</v>
      </c>
      <c r="D596">
        <v>12</v>
      </c>
      <c r="E596" t="s">
        <v>96</v>
      </c>
      <c r="F596" t="s">
        <v>90</v>
      </c>
      <c r="G596" t="s">
        <v>15</v>
      </c>
      <c r="H596" t="s">
        <v>91</v>
      </c>
      <c r="I596">
        <v>20</v>
      </c>
      <c r="J596">
        <v>0</v>
      </c>
      <c r="K596">
        <v>8</v>
      </c>
      <c r="L596" t="s">
        <v>116</v>
      </c>
      <c r="M596">
        <v>18</v>
      </c>
      <c r="N596">
        <v>1</v>
      </c>
      <c r="O596" t="s">
        <v>15</v>
      </c>
      <c r="P596">
        <v>1</v>
      </c>
      <c r="Q596" t="s">
        <v>90</v>
      </c>
      <c r="R596" t="s">
        <v>102</v>
      </c>
    </row>
    <row r="597" spans="1:18">
      <c r="A597">
        <v>1806</v>
      </c>
      <c r="B597" t="s">
        <v>101</v>
      </c>
      <c r="C597">
        <v>36</v>
      </c>
      <c r="D597">
        <v>12</v>
      </c>
      <c r="E597" t="s">
        <v>96</v>
      </c>
      <c r="F597" t="s">
        <v>90</v>
      </c>
      <c r="G597" t="s">
        <v>15</v>
      </c>
      <c r="H597" t="s">
        <v>91</v>
      </c>
      <c r="I597">
        <v>20</v>
      </c>
      <c r="J597">
        <v>0</v>
      </c>
      <c r="K597">
        <v>8</v>
      </c>
      <c r="L597" t="s">
        <v>116</v>
      </c>
      <c r="M597">
        <v>18</v>
      </c>
      <c r="N597">
        <v>1</v>
      </c>
      <c r="O597" t="s">
        <v>15</v>
      </c>
      <c r="P597">
        <v>1</v>
      </c>
      <c r="Q597" t="s">
        <v>90</v>
      </c>
      <c r="R597" t="s">
        <v>102</v>
      </c>
    </row>
    <row r="598" spans="1:18">
      <c r="A598">
        <v>1807</v>
      </c>
      <c r="B598" t="s">
        <v>101</v>
      </c>
      <c r="C598">
        <v>37</v>
      </c>
      <c r="D598">
        <v>12</v>
      </c>
      <c r="E598" t="s">
        <v>96</v>
      </c>
      <c r="F598" t="s">
        <v>90</v>
      </c>
      <c r="G598" t="s">
        <v>15</v>
      </c>
      <c r="H598" t="s">
        <v>91</v>
      </c>
      <c r="I598">
        <v>20</v>
      </c>
      <c r="J598">
        <v>0</v>
      </c>
      <c r="K598">
        <v>8</v>
      </c>
      <c r="L598" t="s">
        <v>116</v>
      </c>
      <c r="M598">
        <v>18</v>
      </c>
      <c r="N598">
        <v>1</v>
      </c>
      <c r="O598" t="s">
        <v>15</v>
      </c>
      <c r="P598">
        <v>1</v>
      </c>
      <c r="Q598" t="s">
        <v>90</v>
      </c>
      <c r="R598" t="s">
        <v>102</v>
      </c>
    </row>
    <row r="599" spans="1:18">
      <c r="A599">
        <v>1808</v>
      </c>
      <c r="B599" t="s">
        <v>101</v>
      </c>
      <c r="C599">
        <v>38</v>
      </c>
      <c r="D599">
        <v>12</v>
      </c>
      <c r="E599" t="s">
        <v>96</v>
      </c>
      <c r="F599" t="s">
        <v>90</v>
      </c>
      <c r="G599" t="s">
        <v>15</v>
      </c>
      <c r="H599" t="s">
        <v>91</v>
      </c>
      <c r="I599">
        <v>20</v>
      </c>
      <c r="J599">
        <v>0</v>
      </c>
      <c r="K599">
        <v>8</v>
      </c>
      <c r="L599" t="s">
        <v>116</v>
      </c>
      <c r="M599">
        <v>18</v>
      </c>
      <c r="N599">
        <v>1</v>
      </c>
      <c r="O599" t="s">
        <v>15</v>
      </c>
      <c r="P599">
        <v>1</v>
      </c>
      <c r="Q599" t="s">
        <v>90</v>
      </c>
      <c r="R599" t="s">
        <v>102</v>
      </c>
    </row>
    <row r="600" spans="1:18">
      <c r="A600">
        <v>1809</v>
      </c>
      <c r="B600" t="s">
        <v>101</v>
      </c>
      <c r="C600">
        <v>39</v>
      </c>
      <c r="D600">
        <v>12</v>
      </c>
      <c r="E600" t="s">
        <v>96</v>
      </c>
      <c r="F600" t="s">
        <v>90</v>
      </c>
      <c r="G600" t="s">
        <v>15</v>
      </c>
      <c r="H600" t="s">
        <v>91</v>
      </c>
      <c r="I600">
        <v>20</v>
      </c>
      <c r="J600">
        <v>0</v>
      </c>
      <c r="K600">
        <v>8</v>
      </c>
      <c r="L600" t="s">
        <v>116</v>
      </c>
      <c r="M600">
        <v>18</v>
      </c>
      <c r="N600">
        <v>1</v>
      </c>
      <c r="O600" t="s">
        <v>15</v>
      </c>
      <c r="P600">
        <v>1</v>
      </c>
      <c r="Q600" t="s">
        <v>90</v>
      </c>
      <c r="R600" t="s">
        <v>102</v>
      </c>
    </row>
    <row r="601" spans="1:18">
      <c r="A601">
        <v>1810</v>
      </c>
      <c r="B601" t="s">
        <v>101</v>
      </c>
      <c r="C601">
        <v>40</v>
      </c>
      <c r="D601">
        <v>12</v>
      </c>
      <c r="E601" t="s">
        <v>96</v>
      </c>
      <c r="F601" t="s">
        <v>90</v>
      </c>
      <c r="G601" t="s">
        <v>15</v>
      </c>
      <c r="H601" t="s">
        <v>91</v>
      </c>
      <c r="I601">
        <v>20</v>
      </c>
      <c r="J601">
        <v>0</v>
      </c>
      <c r="K601">
        <v>8</v>
      </c>
      <c r="L601" t="s">
        <v>116</v>
      </c>
      <c r="M601">
        <v>18</v>
      </c>
      <c r="N601">
        <v>1</v>
      </c>
      <c r="O601" t="s">
        <v>15</v>
      </c>
      <c r="P601">
        <v>1</v>
      </c>
      <c r="Q601" t="s">
        <v>90</v>
      </c>
      <c r="R601" t="s">
        <v>102</v>
      </c>
    </row>
    <row r="602" spans="1:18">
      <c r="A602">
        <v>1811</v>
      </c>
      <c r="B602" t="s">
        <v>103</v>
      </c>
      <c r="C602">
        <v>1</v>
      </c>
      <c r="D602">
        <v>9</v>
      </c>
      <c r="E602" t="s">
        <v>89</v>
      </c>
      <c r="F602" t="s">
        <v>90</v>
      </c>
      <c r="G602" t="s">
        <v>15</v>
      </c>
      <c r="H602" t="s">
        <v>91</v>
      </c>
      <c r="I602">
        <v>20</v>
      </c>
      <c r="J602">
        <v>0</v>
      </c>
      <c r="K602">
        <v>8</v>
      </c>
      <c r="L602" t="s">
        <v>116</v>
      </c>
      <c r="M602">
        <v>19</v>
      </c>
      <c r="N602">
        <v>1</v>
      </c>
      <c r="O602" t="s">
        <v>15</v>
      </c>
      <c r="P602">
        <v>1</v>
      </c>
      <c r="Q602" t="s">
        <v>90</v>
      </c>
      <c r="R602" t="s">
        <v>104</v>
      </c>
    </row>
    <row r="603" spans="1:18">
      <c r="A603">
        <v>1812</v>
      </c>
      <c r="B603" t="s">
        <v>103</v>
      </c>
      <c r="C603">
        <v>2</v>
      </c>
      <c r="D603">
        <v>10</v>
      </c>
      <c r="E603" t="s">
        <v>94</v>
      </c>
      <c r="F603" t="s">
        <v>90</v>
      </c>
      <c r="G603" t="s">
        <v>15</v>
      </c>
      <c r="H603" t="s">
        <v>91</v>
      </c>
      <c r="I603">
        <v>20</v>
      </c>
      <c r="J603">
        <v>0</v>
      </c>
      <c r="K603">
        <v>8</v>
      </c>
      <c r="L603" t="s">
        <v>116</v>
      </c>
      <c r="M603">
        <v>19</v>
      </c>
      <c r="N603">
        <v>1</v>
      </c>
      <c r="O603" t="s">
        <v>15</v>
      </c>
      <c r="P603">
        <v>1</v>
      </c>
      <c r="Q603" t="s">
        <v>90</v>
      </c>
      <c r="R603" t="s">
        <v>104</v>
      </c>
    </row>
    <row r="604" spans="1:18">
      <c r="A604">
        <v>1813</v>
      </c>
      <c r="B604" t="s">
        <v>103</v>
      </c>
      <c r="C604">
        <v>3</v>
      </c>
      <c r="D604">
        <v>9</v>
      </c>
      <c r="E604" t="s">
        <v>89</v>
      </c>
      <c r="F604" t="s">
        <v>90</v>
      </c>
      <c r="G604" t="s">
        <v>15</v>
      </c>
      <c r="H604" t="s">
        <v>91</v>
      </c>
      <c r="I604">
        <v>20</v>
      </c>
      <c r="J604">
        <v>0</v>
      </c>
      <c r="K604">
        <v>8</v>
      </c>
      <c r="L604" t="s">
        <v>116</v>
      </c>
      <c r="M604">
        <v>19</v>
      </c>
      <c r="N604">
        <v>1</v>
      </c>
      <c r="O604" t="s">
        <v>15</v>
      </c>
      <c r="P604">
        <v>1</v>
      </c>
      <c r="Q604" t="s">
        <v>90</v>
      </c>
      <c r="R604" t="s">
        <v>104</v>
      </c>
    </row>
    <row r="605" spans="1:18">
      <c r="A605">
        <v>1814</v>
      </c>
      <c r="B605" t="s">
        <v>103</v>
      </c>
      <c r="C605">
        <v>4</v>
      </c>
      <c r="D605">
        <v>9</v>
      </c>
      <c r="E605" t="s">
        <v>89</v>
      </c>
      <c r="F605" t="s">
        <v>90</v>
      </c>
      <c r="G605" t="s">
        <v>15</v>
      </c>
      <c r="H605" t="s">
        <v>91</v>
      </c>
      <c r="I605">
        <v>20</v>
      </c>
      <c r="J605">
        <v>0</v>
      </c>
      <c r="K605">
        <v>8</v>
      </c>
      <c r="L605" t="s">
        <v>116</v>
      </c>
      <c r="M605">
        <v>19</v>
      </c>
      <c r="N605">
        <v>1</v>
      </c>
      <c r="O605" t="s">
        <v>15</v>
      </c>
      <c r="P605">
        <v>1</v>
      </c>
      <c r="Q605" t="s">
        <v>90</v>
      </c>
      <c r="R605" t="s">
        <v>104</v>
      </c>
    </row>
    <row r="606" spans="1:18">
      <c r="A606">
        <v>1815</v>
      </c>
      <c r="B606" t="s">
        <v>103</v>
      </c>
      <c r="C606">
        <v>5</v>
      </c>
      <c r="D606">
        <v>9</v>
      </c>
      <c r="E606" t="s">
        <v>89</v>
      </c>
      <c r="F606" t="s">
        <v>90</v>
      </c>
      <c r="G606" t="s">
        <v>15</v>
      </c>
      <c r="H606" t="s">
        <v>91</v>
      </c>
      <c r="I606">
        <v>20</v>
      </c>
      <c r="J606">
        <v>0</v>
      </c>
      <c r="K606">
        <v>8</v>
      </c>
      <c r="L606" t="s">
        <v>116</v>
      </c>
      <c r="M606">
        <v>19</v>
      </c>
      <c r="N606">
        <v>1</v>
      </c>
      <c r="O606" t="s">
        <v>15</v>
      </c>
      <c r="P606">
        <v>1</v>
      </c>
      <c r="Q606" t="s">
        <v>90</v>
      </c>
      <c r="R606" t="s">
        <v>104</v>
      </c>
    </row>
    <row r="607" spans="1:18">
      <c r="A607">
        <v>1816</v>
      </c>
      <c r="B607" t="s">
        <v>103</v>
      </c>
      <c r="C607">
        <v>6</v>
      </c>
      <c r="D607">
        <v>10</v>
      </c>
      <c r="E607" t="s">
        <v>94</v>
      </c>
      <c r="F607" t="s">
        <v>90</v>
      </c>
      <c r="G607" t="s">
        <v>15</v>
      </c>
      <c r="H607" t="s">
        <v>91</v>
      </c>
      <c r="I607">
        <v>20</v>
      </c>
      <c r="J607">
        <v>0</v>
      </c>
      <c r="K607">
        <v>8</v>
      </c>
      <c r="L607" t="s">
        <v>116</v>
      </c>
      <c r="M607">
        <v>19</v>
      </c>
      <c r="N607">
        <v>1</v>
      </c>
      <c r="O607" t="s">
        <v>15</v>
      </c>
      <c r="P607">
        <v>1</v>
      </c>
      <c r="Q607" t="s">
        <v>90</v>
      </c>
      <c r="R607" t="s">
        <v>104</v>
      </c>
    </row>
    <row r="608" spans="1:18">
      <c r="A608">
        <v>1817</v>
      </c>
      <c r="B608" t="s">
        <v>103</v>
      </c>
      <c r="C608">
        <v>7</v>
      </c>
      <c r="D608">
        <v>10</v>
      </c>
      <c r="E608" t="s">
        <v>94</v>
      </c>
      <c r="F608" t="s">
        <v>90</v>
      </c>
      <c r="G608" t="s">
        <v>15</v>
      </c>
      <c r="H608" t="s">
        <v>91</v>
      </c>
      <c r="I608">
        <v>20</v>
      </c>
      <c r="J608">
        <v>0</v>
      </c>
      <c r="K608">
        <v>8</v>
      </c>
      <c r="L608" t="s">
        <v>116</v>
      </c>
      <c r="M608">
        <v>19</v>
      </c>
      <c r="N608">
        <v>1</v>
      </c>
      <c r="O608" t="s">
        <v>15</v>
      </c>
      <c r="P608">
        <v>1</v>
      </c>
      <c r="Q608" t="s">
        <v>90</v>
      </c>
      <c r="R608" t="s">
        <v>104</v>
      </c>
    </row>
    <row r="609" spans="1:18">
      <c r="A609">
        <v>1818</v>
      </c>
      <c r="B609" t="s">
        <v>103</v>
      </c>
      <c r="C609">
        <v>8</v>
      </c>
      <c r="D609">
        <v>10</v>
      </c>
      <c r="E609" t="s">
        <v>94</v>
      </c>
      <c r="F609" t="s">
        <v>90</v>
      </c>
      <c r="G609" t="s">
        <v>15</v>
      </c>
      <c r="H609" t="s">
        <v>91</v>
      </c>
      <c r="I609">
        <v>20</v>
      </c>
      <c r="J609">
        <v>0</v>
      </c>
      <c r="K609">
        <v>8</v>
      </c>
      <c r="L609" t="s">
        <v>116</v>
      </c>
      <c r="M609">
        <v>19</v>
      </c>
      <c r="N609">
        <v>1</v>
      </c>
      <c r="O609" t="s">
        <v>15</v>
      </c>
      <c r="P609">
        <v>1</v>
      </c>
      <c r="Q609" t="s">
        <v>90</v>
      </c>
      <c r="R609" t="s">
        <v>104</v>
      </c>
    </row>
    <row r="610" spans="1:18">
      <c r="A610">
        <v>1819</v>
      </c>
      <c r="B610" t="s">
        <v>103</v>
      </c>
      <c r="C610">
        <v>9</v>
      </c>
      <c r="D610">
        <v>10</v>
      </c>
      <c r="E610" t="s">
        <v>94</v>
      </c>
      <c r="F610" t="s">
        <v>90</v>
      </c>
      <c r="G610" t="s">
        <v>15</v>
      </c>
      <c r="H610" t="s">
        <v>91</v>
      </c>
      <c r="I610">
        <v>20</v>
      </c>
      <c r="J610">
        <v>0</v>
      </c>
      <c r="K610">
        <v>8</v>
      </c>
      <c r="L610" t="s">
        <v>116</v>
      </c>
      <c r="M610">
        <v>19</v>
      </c>
      <c r="N610">
        <v>1</v>
      </c>
      <c r="O610" t="s">
        <v>15</v>
      </c>
      <c r="P610">
        <v>1</v>
      </c>
      <c r="Q610" t="s">
        <v>90</v>
      </c>
      <c r="R610" t="s">
        <v>104</v>
      </c>
    </row>
    <row r="611" spans="1:18">
      <c r="A611">
        <v>1820</v>
      </c>
      <c r="B611" t="s">
        <v>103</v>
      </c>
      <c r="C611">
        <v>10</v>
      </c>
      <c r="D611">
        <v>9</v>
      </c>
      <c r="E611" t="s">
        <v>89</v>
      </c>
      <c r="F611" t="s">
        <v>90</v>
      </c>
      <c r="G611" t="s">
        <v>15</v>
      </c>
      <c r="H611" t="s">
        <v>91</v>
      </c>
      <c r="I611">
        <v>20</v>
      </c>
      <c r="J611">
        <v>0</v>
      </c>
      <c r="K611">
        <v>8</v>
      </c>
      <c r="L611" t="s">
        <v>116</v>
      </c>
      <c r="M611">
        <v>19</v>
      </c>
      <c r="N611">
        <v>1</v>
      </c>
      <c r="O611" t="s">
        <v>15</v>
      </c>
      <c r="P611">
        <v>1</v>
      </c>
      <c r="Q611" t="s">
        <v>90</v>
      </c>
      <c r="R611" t="s">
        <v>104</v>
      </c>
    </row>
    <row r="612" spans="1:18">
      <c r="A612">
        <v>1821</v>
      </c>
      <c r="B612" t="s">
        <v>103</v>
      </c>
      <c r="C612">
        <v>11</v>
      </c>
      <c r="D612">
        <v>11</v>
      </c>
      <c r="E612" t="s">
        <v>95</v>
      </c>
      <c r="F612" t="s">
        <v>90</v>
      </c>
      <c r="G612" t="s">
        <v>15</v>
      </c>
      <c r="H612" t="s">
        <v>91</v>
      </c>
      <c r="I612">
        <v>20</v>
      </c>
      <c r="J612">
        <v>0</v>
      </c>
      <c r="K612">
        <v>8</v>
      </c>
      <c r="L612" t="s">
        <v>116</v>
      </c>
      <c r="M612">
        <v>19</v>
      </c>
      <c r="N612">
        <v>1</v>
      </c>
      <c r="O612" t="s">
        <v>15</v>
      </c>
      <c r="P612">
        <v>1</v>
      </c>
      <c r="Q612" t="s">
        <v>90</v>
      </c>
      <c r="R612" t="s">
        <v>104</v>
      </c>
    </row>
    <row r="613" spans="1:18">
      <c r="A613">
        <v>1822</v>
      </c>
      <c r="B613" t="s">
        <v>103</v>
      </c>
      <c r="C613">
        <v>12</v>
      </c>
      <c r="D613">
        <v>11</v>
      </c>
      <c r="E613" t="s">
        <v>95</v>
      </c>
      <c r="F613" t="s">
        <v>90</v>
      </c>
      <c r="G613" t="s">
        <v>15</v>
      </c>
      <c r="H613" t="s">
        <v>91</v>
      </c>
      <c r="I613">
        <v>20</v>
      </c>
      <c r="J613">
        <v>0</v>
      </c>
      <c r="K613">
        <v>8</v>
      </c>
      <c r="L613" t="s">
        <v>116</v>
      </c>
      <c r="M613">
        <v>19</v>
      </c>
      <c r="N613">
        <v>1</v>
      </c>
      <c r="O613" t="s">
        <v>15</v>
      </c>
      <c r="P613">
        <v>1</v>
      </c>
      <c r="Q613" t="s">
        <v>90</v>
      </c>
      <c r="R613" t="s">
        <v>104</v>
      </c>
    </row>
    <row r="614" spans="1:18">
      <c r="A614">
        <v>1823</v>
      </c>
      <c r="B614" t="s">
        <v>103</v>
      </c>
      <c r="C614">
        <v>13</v>
      </c>
      <c r="D614">
        <v>11</v>
      </c>
      <c r="E614" t="s">
        <v>95</v>
      </c>
      <c r="F614" t="s">
        <v>90</v>
      </c>
      <c r="G614" t="s">
        <v>15</v>
      </c>
      <c r="H614" t="s">
        <v>91</v>
      </c>
      <c r="I614">
        <v>20</v>
      </c>
      <c r="J614">
        <v>0</v>
      </c>
      <c r="K614">
        <v>8</v>
      </c>
      <c r="L614" t="s">
        <v>116</v>
      </c>
      <c r="M614">
        <v>19</v>
      </c>
      <c r="N614">
        <v>1</v>
      </c>
      <c r="O614" t="s">
        <v>15</v>
      </c>
      <c r="P614">
        <v>1</v>
      </c>
      <c r="Q614" t="s">
        <v>90</v>
      </c>
      <c r="R614" t="s">
        <v>104</v>
      </c>
    </row>
    <row r="615" spans="1:18">
      <c r="A615">
        <v>1824</v>
      </c>
      <c r="B615" t="s">
        <v>103</v>
      </c>
      <c r="C615">
        <v>14</v>
      </c>
      <c r="D615">
        <v>11</v>
      </c>
      <c r="E615" t="s">
        <v>95</v>
      </c>
      <c r="F615" t="s">
        <v>90</v>
      </c>
      <c r="G615" t="s">
        <v>15</v>
      </c>
      <c r="H615" t="s">
        <v>91</v>
      </c>
      <c r="I615">
        <v>20</v>
      </c>
      <c r="J615">
        <v>0</v>
      </c>
      <c r="K615">
        <v>8</v>
      </c>
      <c r="L615" t="s">
        <v>116</v>
      </c>
      <c r="M615">
        <v>19</v>
      </c>
      <c r="N615">
        <v>1</v>
      </c>
      <c r="O615" t="s">
        <v>15</v>
      </c>
      <c r="P615">
        <v>1</v>
      </c>
      <c r="Q615" t="s">
        <v>90</v>
      </c>
      <c r="R615" t="s">
        <v>104</v>
      </c>
    </row>
    <row r="616" spans="1:18">
      <c r="A616">
        <v>1825</v>
      </c>
      <c r="B616" t="s">
        <v>103</v>
      </c>
      <c r="C616">
        <v>15</v>
      </c>
      <c r="D616">
        <v>11</v>
      </c>
      <c r="E616" t="s">
        <v>95</v>
      </c>
      <c r="F616" t="s">
        <v>90</v>
      </c>
      <c r="G616" t="s">
        <v>15</v>
      </c>
      <c r="H616" t="s">
        <v>91</v>
      </c>
      <c r="I616">
        <v>20</v>
      </c>
      <c r="J616">
        <v>0</v>
      </c>
      <c r="K616">
        <v>8</v>
      </c>
      <c r="L616" t="s">
        <v>116</v>
      </c>
      <c r="M616">
        <v>19</v>
      </c>
      <c r="N616">
        <v>1</v>
      </c>
      <c r="O616" t="s">
        <v>15</v>
      </c>
      <c r="P616">
        <v>1</v>
      </c>
      <c r="Q616" t="s">
        <v>90</v>
      </c>
      <c r="R616" t="s">
        <v>104</v>
      </c>
    </row>
    <row r="617" spans="1:18">
      <c r="A617">
        <v>1826</v>
      </c>
      <c r="B617" t="s">
        <v>103</v>
      </c>
      <c r="C617">
        <v>16</v>
      </c>
      <c r="D617">
        <v>11</v>
      </c>
      <c r="E617" t="s">
        <v>95</v>
      </c>
      <c r="F617" t="s">
        <v>90</v>
      </c>
      <c r="G617" t="s">
        <v>15</v>
      </c>
      <c r="H617" t="s">
        <v>91</v>
      </c>
      <c r="I617">
        <v>20</v>
      </c>
      <c r="J617">
        <v>0</v>
      </c>
      <c r="K617">
        <v>8</v>
      </c>
      <c r="L617" t="s">
        <v>116</v>
      </c>
      <c r="M617">
        <v>19</v>
      </c>
      <c r="N617">
        <v>1</v>
      </c>
      <c r="O617" t="s">
        <v>15</v>
      </c>
      <c r="P617">
        <v>1</v>
      </c>
      <c r="Q617" t="s">
        <v>90</v>
      </c>
      <c r="R617" t="s">
        <v>104</v>
      </c>
    </row>
    <row r="618" spans="1:18">
      <c r="A618">
        <v>1827</v>
      </c>
      <c r="B618" t="s">
        <v>103</v>
      </c>
      <c r="C618">
        <v>17</v>
      </c>
      <c r="D618">
        <v>11</v>
      </c>
      <c r="E618" t="s">
        <v>95</v>
      </c>
      <c r="F618" t="s">
        <v>90</v>
      </c>
      <c r="G618" t="s">
        <v>15</v>
      </c>
      <c r="H618" t="s">
        <v>91</v>
      </c>
      <c r="I618">
        <v>20</v>
      </c>
      <c r="J618">
        <v>0</v>
      </c>
      <c r="K618">
        <v>8</v>
      </c>
      <c r="L618" t="s">
        <v>116</v>
      </c>
      <c r="M618">
        <v>19</v>
      </c>
      <c r="N618">
        <v>1</v>
      </c>
      <c r="O618" t="s">
        <v>15</v>
      </c>
      <c r="P618">
        <v>1</v>
      </c>
      <c r="Q618" t="s">
        <v>90</v>
      </c>
      <c r="R618" t="s">
        <v>104</v>
      </c>
    </row>
    <row r="619" spans="1:18">
      <c r="A619">
        <v>1828</v>
      </c>
      <c r="B619" t="s">
        <v>103</v>
      </c>
      <c r="C619">
        <v>18</v>
      </c>
      <c r="D619">
        <v>11</v>
      </c>
      <c r="E619" t="s">
        <v>95</v>
      </c>
      <c r="F619" t="s">
        <v>90</v>
      </c>
      <c r="G619" t="s">
        <v>15</v>
      </c>
      <c r="H619" t="s">
        <v>91</v>
      </c>
      <c r="I619">
        <v>20</v>
      </c>
      <c r="J619">
        <v>0</v>
      </c>
      <c r="K619">
        <v>8</v>
      </c>
      <c r="L619" t="s">
        <v>116</v>
      </c>
      <c r="M619">
        <v>19</v>
      </c>
      <c r="N619">
        <v>1</v>
      </c>
      <c r="O619" t="s">
        <v>15</v>
      </c>
      <c r="P619">
        <v>1</v>
      </c>
      <c r="Q619" t="s">
        <v>90</v>
      </c>
      <c r="R619" t="s">
        <v>104</v>
      </c>
    </row>
    <row r="620" spans="1:18">
      <c r="A620">
        <v>1829</v>
      </c>
      <c r="B620" t="s">
        <v>103</v>
      </c>
      <c r="C620">
        <v>19</v>
      </c>
      <c r="D620">
        <v>11</v>
      </c>
      <c r="E620" t="s">
        <v>95</v>
      </c>
      <c r="F620" t="s">
        <v>90</v>
      </c>
      <c r="G620" t="s">
        <v>15</v>
      </c>
      <c r="H620" t="s">
        <v>91</v>
      </c>
      <c r="I620">
        <v>20</v>
      </c>
      <c r="J620">
        <v>0</v>
      </c>
      <c r="K620">
        <v>8</v>
      </c>
      <c r="L620" t="s">
        <v>116</v>
      </c>
      <c r="M620">
        <v>19</v>
      </c>
      <c r="N620">
        <v>1</v>
      </c>
      <c r="O620" t="s">
        <v>15</v>
      </c>
      <c r="P620">
        <v>1</v>
      </c>
      <c r="Q620" t="s">
        <v>90</v>
      </c>
      <c r="R620" t="s">
        <v>104</v>
      </c>
    </row>
    <row r="621" spans="1:18">
      <c r="A621">
        <v>1830</v>
      </c>
      <c r="B621" t="s">
        <v>103</v>
      </c>
      <c r="C621">
        <v>20</v>
      </c>
      <c r="D621">
        <v>11</v>
      </c>
      <c r="E621" t="s">
        <v>95</v>
      </c>
      <c r="F621" t="s">
        <v>90</v>
      </c>
      <c r="G621" t="s">
        <v>15</v>
      </c>
      <c r="H621" t="s">
        <v>91</v>
      </c>
      <c r="I621">
        <v>20</v>
      </c>
      <c r="J621">
        <v>0</v>
      </c>
      <c r="K621">
        <v>8</v>
      </c>
      <c r="L621" t="s">
        <v>116</v>
      </c>
      <c r="M621">
        <v>19</v>
      </c>
      <c r="N621">
        <v>1</v>
      </c>
      <c r="O621" t="s">
        <v>15</v>
      </c>
      <c r="P621">
        <v>1</v>
      </c>
      <c r="Q621" t="s">
        <v>90</v>
      </c>
      <c r="R621" t="s">
        <v>104</v>
      </c>
    </row>
    <row r="622" spans="1:18">
      <c r="A622">
        <v>1831</v>
      </c>
      <c r="B622" t="s">
        <v>103</v>
      </c>
      <c r="C622">
        <v>21</v>
      </c>
      <c r="D622">
        <v>9</v>
      </c>
      <c r="E622" t="s">
        <v>89</v>
      </c>
      <c r="F622" t="s">
        <v>90</v>
      </c>
      <c r="G622" t="s">
        <v>15</v>
      </c>
      <c r="H622" t="s">
        <v>91</v>
      </c>
      <c r="I622">
        <v>20</v>
      </c>
      <c r="J622">
        <v>0</v>
      </c>
      <c r="K622">
        <v>8</v>
      </c>
      <c r="L622" t="s">
        <v>116</v>
      </c>
      <c r="M622">
        <v>19</v>
      </c>
      <c r="N622">
        <v>1</v>
      </c>
      <c r="O622" t="s">
        <v>15</v>
      </c>
      <c r="P622">
        <v>1</v>
      </c>
      <c r="Q622" t="s">
        <v>90</v>
      </c>
      <c r="R622" t="s">
        <v>104</v>
      </c>
    </row>
    <row r="623" spans="1:18">
      <c r="A623">
        <v>1832</v>
      </c>
      <c r="B623" t="s">
        <v>103</v>
      </c>
      <c r="C623">
        <v>22</v>
      </c>
      <c r="D623">
        <v>10</v>
      </c>
      <c r="E623" t="s">
        <v>94</v>
      </c>
      <c r="F623" t="s">
        <v>90</v>
      </c>
      <c r="G623" t="s">
        <v>15</v>
      </c>
      <c r="H623" t="s">
        <v>91</v>
      </c>
      <c r="I623">
        <v>20</v>
      </c>
      <c r="J623">
        <v>0</v>
      </c>
      <c r="K623">
        <v>8</v>
      </c>
      <c r="L623" t="s">
        <v>116</v>
      </c>
      <c r="M623">
        <v>19</v>
      </c>
      <c r="N623">
        <v>1</v>
      </c>
      <c r="O623" t="s">
        <v>15</v>
      </c>
      <c r="P623">
        <v>1</v>
      </c>
      <c r="Q623" t="s">
        <v>90</v>
      </c>
      <c r="R623" t="s">
        <v>104</v>
      </c>
    </row>
    <row r="624" spans="1:18">
      <c r="A624">
        <v>1833</v>
      </c>
      <c r="B624" t="s">
        <v>103</v>
      </c>
      <c r="C624">
        <v>23</v>
      </c>
      <c r="D624">
        <v>9</v>
      </c>
      <c r="E624" t="s">
        <v>89</v>
      </c>
      <c r="F624" t="s">
        <v>90</v>
      </c>
      <c r="G624" t="s">
        <v>15</v>
      </c>
      <c r="H624" t="s">
        <v>91</v>
      </c>
      <c r="I624">
        <v>20</v>
      </c>
      <c r="J624">
        <v>0</v>
      </c>
      <c r="K624">
        <v>8</v>
      </c>
      <c r="L624" t="s">
        <v>116</v>
      </c>
      <c r="M624">
        <v>19</v>
      </c>
      <c r="N624">
        <v>1</v>
      </c>
      <c r="O624" t="s">
        <v>15</v>
      </c>
      <c r="P624">
        <v>1</v>
      </c>
      <c r="Q624" t="s">
        <v>90</v>
      </c>
      <c r="R624" t="s">
        <v>104</v>
      </c>
    </row>
    <row r="625" spans="1:18">
      <c r="A625">
        <v>1834</v>
      </c>
      <c r="B625" t="s">
        <v>103</v>
      </c>
      <c r="C625">
        <v>24</v>
      </c>
      <c r="D625">
        <v>10</v>
      </c>
      <c r="E625" t="s">
        <v>94</v>
      </c>
      <c r="F625" t="s">
        <v>90</v>
      </c>
      <c r="G625" t="s">
        <v>15</v>
      </c>
      <c r="H625" t="s">
        <v>91</v>
      </c>
      <c r="I625">
        <v>20</v>
      </c>
      <c r="J625">
        <v>0</v>
      </c>
      <c r="K625">
        <v>8</v>
      </c>
      <c r="L625" t="s">
        <v>116</v>
      </c>
      <c r="M625">
        <v>19</v>
      </c>
      <c r="N625">
        <v>1</v>
      </c>
      <c r="O625" t="s">
        <v>15</v>
      </c>
      <c r="P625">
        <v>1</v>
      </c>
      <c r="Q625" t="s">
        <v>90</v>
      </c>
      <c r="R625" t="s">
        <v>104</v>
      </c>
    </row>
    <row r="626" spans="1:18">
      <c r="A626">
        <v>1835</v>
      </c>
      <c r="B626" t="s">
        <v>103</v>
      </c>
      <c r="C626">
        <v>25</v>
      </c>
      <c r="D626">
        <v>9</v>
      </c>
      <c r="E626" t="s">
        <v>89</v>
      </c>
      <c r="F626" t="s">
        <v>90</v>
      </c>
      <c r="G626" t="s">
        <v>15</v>
      </c>
      <c r="H626" t="s">
        <v>91</v>
      </c>
      <c r="I626">
        <v>20</v>
      </c>
      <c r="J626">
        <v>0</v>
      </c>
      <c r="K626">
        <v>8</v>
      </c>
      <c r="L626" t="s">
        <v>116</v>
      </c>
      <c r="M626">
        <v>19</v>
      </c>
      <c r="N626">
        <v>1</v>
      </c>
      <c r="O626" t="s">
        <v>15</v>
      </c>
      <c r="P626">
        <v>1</v>
      </c>
      <c r="Q626" t="s">
        <v>90</v>
      </c>
      <c r="R626" t="s">
        <v>104</v>
      </c>
    </row>
    <row r="627" spans="1:18">
      <c r="A627">
        <v>1836</v>
      </c>
      <c r="B627" t="s">
        <v>103</v>
      </c>
      <c r="C627">
        <v>26</v>
      </c>
      <c r="D627">
        <v>10</v>
      </c>
      <c r="E627" t="s">
        <v>94</v>
      </c>
      <c r="F627" t="s">
        <v>90</v>
      </c>
      <c r="G627" t="s">
        <v>15</v>
      </c>
      <c r="H627" t="s">
        <v>91</v>
      </c>
      <c r="I627">
        <v>20</v>
      </c>
      <c r="J627">
        <v>0</v>
      </c>
      <c r="K627">
        <v>8</v>
      </c>
      <c r="L627" t="s">
        <v>116</v>
      </c>
      <c r="M627">
        <v>19</v>
      </c>
      <c r="N627">
        <v>1</v>
      </c>
      <c r="O627" t="s">
        <v>15</v>
      </c>
      <c r="P627">
        <v>1</v>
      </c>
      <c r="Q627" t="s">
        <v>90</v>
      </c>
      <c r="R627" t="s">
        <v>104</v>
      </c>
    </row>
    <row r="628" spans="1:18">
      <c r="A628">
        <v>1837</v>
      </c>
      <c r="B628" t="s">
        <v>103</v>
      </c>
      <c r="C628">
        <v>27</v>
      </c>
      <c r="D628">
        <v>9</v>
      </c>
      <c r="E628" t="s">
        <v>89</v>
      </c>
      <c r="F628" t="s">
        <v>90</v>
      </c>
      <c r="G628" t="s">
        <v>15</v>
      </c>
      <c r="H628" t="s">
        <v>91</v>
      </c>
      <c r="I628">
        <v>20</v>
      </c>
      <c r="J628">
        <v>0</v>
      </c>
      <c r="K628">
        <v>8</v>
      </c>
      <c r="L628" t="s">
        <v>116</v>
      </c>
      <c r="M628">
        <v>19</v>
      </c>
      <c r="N628">
        <v>1</v>
      </c>
      <c r="O628" t="s">
        <v>15</v>
      </c>
      <c r="P628">
        <v>1</v>
      </c>
      <c r="Q628" t="s">
        <v>90</v>
      </c>
      <c r="R628" t="s">
        <v>104</v>
      </c>
    </row>
    <row r="629" spans="1:18">
      <c r="A629">
        <v>1838</v>
      </c>
      <c r="B629" t="s">
        <v>103</v>
      </c>
      <c r="C629">
        <v>28</v>
      </c>
      <c r="D629">
        <v>10</v>
      </c>
      <c r="E629" t="s">
        <v>94</v>
      </c>
      <c r="F629" t="s">
        <v>90</v>
      </c>
      <c r="G629" t="s">
        <v>15</v>
      </c>
      <c r="H629" t="s">
        <v>91</v>
      </c>
      <c r="I629">
        <v>20</v>
      </c>
      <c r="J629">
        <v>0</v>
      </c>
      <c r="K629">
        <v>8</v>
      </c>
      <c r="L629" t="s">
        <v>116</v>
      </c>
      <c r="M629">
        <v>19</v>
      </c>
      <c r="N629">
        <v>1</v>
      </c>
      <c r="O629" t="s">
        <v>15</v>
      </c>
      <c r="P629">
        <v>1</v>
      </c>
      <c r="Q629" t="s">
        <v>90</v>
      </c>
      <c r="R629" t="s">
        <v>104</v>
      </c>
    </row>
    <row r="630" spans="1:18">
      <c r="A630">
        <v>1839</v>
      </c>
      <c r="B630" t="s">
        <v>103</v>
      </c>
      <c r="C630">
        <v>29</v>
      </c>
      <c r="D630">
        <v>9</v>
      </c>
      <c r="E630" t="s">
        <v>89</v>
      </c>
      <c r="F630" t="s">
        <v>90</v>
      </c>
      <c r="G630" t="s">
        <v>15</v>
      </c>
      <c r="H630" t="s">
        <v>91</v>
      </c>
      <c r="I630">
        <v>20</v>
      </c>
      <c r="J630">
        <v>0</v>
      </c>
      <c r="K630">
        <v>8</v>
      </c>
      <c r="L630" t="s">
        <v>116</v>
      </c>
      <c r="M630">
        <v>19</v>
      </c>
      <c r="N630">
        <v>1</v>
      </c>
      <c r="O630" t="s">
        <v>15</v>
      </c>
      <c r="P630">
        <v>1</v>
      </c>
      <c r="Q630" t="s">
        <v>90</v>
      </c>
      <c r="R630" t="s">
        <v>104</v>
      </c>
    </row>
    <row r="631" spans="1:18">
      <c r="A631">
        <v>1840</v>
      </c>
      <c r="B631" t="s">
        <v>103</v>
      </c>
      <c r="C631">
        <v>30</v>
      </c>
      <c r="D631">
        <v>10</v>
      </c>
      <c r="E631" t="s">
        <v>94</v>
      </c>
      <c r="F631" t="s">
        <v>90</v>
      </c>
      <c r="G631" t="s">
        <v>15</v>
      </c>
      <c r="H631" t="s">
        <v>91</v>
      </c>
      <c r="I631">
        <v>20</v>
      </c>
      <c r="J631">
        <v>0</v>
      </c>
      <c r="K631">
        <v>8</v>
      </c>
      <c r="L631" t="s">
        <v>116</v>
      </c>
      <c r="M631">
        <v>19</v>
      </c>
      <c r="N631">
        <v>1</v>
      </c>
      <c r="O631" t="s">
        <v>15</v>
      </c>
      <c r="P631">
        <v>1</v>
      </c>
      <c r="Q631" t="s">
        <v>90</v>
      </c>
      <c r="R631" t="s">
        <v>104</v>
      </c>
    </row>
    <row r="632" spans="1:18">
      <c r="A632">
        <v>1841</v>
      </c>
      <c r="B632" t="s">
        <v>103</v>
      </c>
      <c r="C632">
        <v>31</v>
      </c>
      <c r="D632">
        <v>12</v>
      </c>
      <c r="E632" t="s">
        <v>96</v>
      </c>
      <c r="F632" t="s">
        <v>90</v>
      </c>
      <c r="G632" t="s">
        <v>15</v>
      </c>
      <c r="H632" t="s">
        <v>91</v>
      </c>
      <c r="I632">
        <v>20</v>
      </c>
      <c r="J632">
        <v>0</v>
      </c>
      <c r="K632">
        <v>8</v>
      </c>
      <c r="L632" t="s">
        <v>116</v>
      </c>
      <c r="M632">
        <v>19</v>
      </c>
      <c r="N632">
        <v>1</v>
      </c>
      <c r="O632" t="s">
        <v>15</v>
      </c>
      <c r="P632">
        <v>1</v>
      </c>
      <c r="Q632" t="s">
        <v>90</v>
      </c>
      <c r="R632" t="s">
        <v>104</v>
      </c>
    </row>
    <row r="633" spans="1:18">
      <c r="A633">
        <v>1842</v>
      </c>
      <c r="B633" t="s">
        <v>103</v>
      </c>
      <c r="C633">
        <v>32</v>
      </c>
      <c r="D633">
        <v>12</v>
      </c>
      <c r="E633" t="s">
        <v>96</v>
      </c>
      <c r="F633" t="s">
        <v>90</v>
      </c>
      <c r="G633" t="s">
        <v>15</v>
      </c>
      <c r="H633" t="s">
        <v>91</v>
      </c>
      <c r="I633">
        <v>20</v>
      </c>
      <c r="J633">
        <v>0</v>
      </c>
      <c r="K633">
        <v>8</v>
      </c>
      <c r="L633" t="s">
        <v>116</v>
      </c>
      <c r="M633">
        <v>19</v>
      </c>
      <c r="N633">
        <v>1</v>
      </c>
      <c r="O633" t="s">
        <v>15</v>
      </c>
      <c r="P633">
        <v>1</v>
      </c>
      <c r="Q633" t="s">
        <v>90</v>
      </c>
      <c r="R633" t="s">
        <v>104</v>
      </c>
    </row>
    <row r="634" spans="1:18">
      <c r="A634">
        <v>1843</v>
      </c>
      <c r="B634" t="s">
        <v>103</v>
      </c>
      <c r="C634">
        <v>33</v>
      </c>
      <c r="D634">
        <v>12</v>
      </c>
      <c r="E634" t="s">
        <v>96</v>
      </c>
      <c r="F634" t="s">
        <v>90</v>
      </c>
      <c r="G634" t="s">
        <v>15</v>
      </c>
      <c r="H634" t="s">
        <v>91</v>
      </c>
      <c r="I634">
        <v>20</v>
      </c>
      <c r="J634">
        <v>0</v>
      </c>
      <c r="K634">
        <v>8</v>
      </c>
      <c r="L634" t="s">
        <v>116</v>
      </c>
      <c r="M634">
        <v>19</v>
      </c>
      <c r="N634">
        <v>1</v>
      </c>
      <c r="O634" t="s">
        <v>15</v>
      </c>
      <c r="P634">
        <v>1</v>
      </c>
      <c r="Q634" t="s">
        <v>90</v>
      </c>
      <c r="R634" t="s">
        <v>104</v>
      </c>
    </row>
    <row r="635" spans="1:18">
      <c r="A635">
        <v>1844</v>
      </c>
      <c r="B635" t="s">
        <v>103</v>
      </c>
      <c r="C635">
        <v>34</v>
      </c>
      <c r="D635">
        <v>12</v>
      </c>
      <c r="E635" t="s">
        <v>96</v>
      </c>
      <c r="F635" t="s">
        <v>90</v>
      </c>
      <c r="G635" t="s">
        <v>15</v>
      </c>
      <c r="H635" t="s">
        <v>91</v>
      </c>
      <c r="I635">
        <v>20</v>
      </c>
      <c r="J635">
        <v>0</v>
      </c>
      <c r="K635">
        <v>8</v>
      </c>
      <c r="L635" t="s">
        <v>116</v>
      </c>
      <c r="M635">
        <v>19</v>
      </c>
      <c r="N635">
        <v>1</v>
      </c>
      <c r="O635" t="s">
        <v>15</v>
      </c>
      <c r="P635">
        <v>1</v>
      </c>
      <c r="Q635" t="s">
        <v>90</v>
      </c>
      <c r="R635" t="s">
        <v>104</v>
      </c>
    </row>
    <row r="636" spans="1:18">
      <c r="A636">
        <v>1845</v>
      </c>
      <c r="B636" t="s">
        <v>103</v>
      </c>
      <c r="C636">
        <v>35</v>
      </c>
      <c r="D636">
        <v>12</v>
      </c>
      <c r="E636" t="s">
        <v>96</v>
      </c>
      <c r="F636" t="s">
        <v>90</v>
      </c>
      <c r="G636" t="s">
        <v>15</v>
      </c>
      <c r="H636" t="s">
        <v>91</v>
      </c>
      <c r="I636">
        <v>20</v>
      </c>
      <c r="J636">
        <v>0</v>
      </c>
      <c r="K636">
        <v>8</v>
      </c>
      <c r="L636" t="s">
        <v>116</v>
      </c>
      <c r="M636">
        <v>19</v>
      </c>
      <c r="N636">
        <v>1</v>
      </c>
      <c r="O636" t="s">
        <v>15</v>
      </c>
      <c r="P636">
        <v>1</v>
      </c>
      <c r="Q636" t="s">
        <v>90</v>
      </c>
      <c r="R636" t="s">
        <v>104</v>
      </c>
    </row>
    <row r="637" spans="1:18">
      <c r="A637">
        <v>1846</v>
      </c>
      <c r="B637" t="s">
        <v>103</v>
      </c>
      <c r="C637">
        <v>36</v>
      </c>
      <c r="D637">
        <v>12</v>
      </c>
      <c r="E637" t="s">
        <v>96</v>
      </c>
      <c r="F637" t="s">
        <v>90</v>
      </c>
      <c r="G637" t="s">
        <v>15</v>
      </c>
      <c r="H637" t="s">
        <v>91</v>
      </c>
      <c r="I637">
        <v>20</v>
      </c>
      <c r="J637">
        <v>0</v>
      </c>
      <c r="K637">
        <v>8</v>
      </c>
      <c r="L637" t="s">
        <v>116</v>
      </c>
      <c r="M637">
        <v>19</v>
      </c>
      <c r="N637">
        <v>1</v>
      </c>
      <c r="O637" t="s">
        <v>15</v>
      </c>
      <c r="P637">
        <v>1</v>
      </c>
      <c r="Q637" t="s">
        <v>90</v>
      </c>
      <c r="R637" t="s">
        <v>104</v>
      </c>
    </row>
    <row r="638" spans="1:18">
      <c r="A638">
        <v>1847</v>
      </c>
      <c r="B638" t="s">
        <v>103</v>
      </c>
      <c r="C638">
        <v>37</v>
      </c>
      <c r="D638">
        <v>12</v>
      </c>
      <c r="E638" t="s">
        <v>96</v>
      </c>
      <c r="F638" t="s">
        <v>90</v>
      </c>
      <c r="G638" t="s">
        <v>15</v>
      </c>
      <c r="H638" t="s">
        <v>91</v>
      </c>
      <c r="I638">
        <v>20</v>
      </c>
      <c r="J638">
        <v>0</v>
      </c>
      <c r="K638">
        <v>8</v>
      </c>
      <c r="L638" t="s">
        <v>116</v>
      </c>
      <c r="M638">
        <v>19</v>
      </c>
      <c r="N638">
        <v>1</v>
      </c>
      <c r="O638" t="s">
        <v>15</v>
      </c>
      <c r="P638">
        <v>1</v>
      </c>
      <c r="Q638" t="s">
        <v>90</v>
      </c>
      <c r="R638" t="s">
        <v>104</v>
      </c>
    </row>
    <row r="639" spans="1:18">
      <c r="A639">
        <v>1848</v>
      </c>
      <c r="B639" t="s">
        <v>103</v>
      </c>
      <c r="C639">
        <v>38</v>
      </c>
      <c r="D639">
        <v>12</v>
      </c>
      <c r="E639" t="s">
        <v>96</v>
      </c>
      <c r="F639" t="s">
        <v>90</v>
      </c>
      <c r="G639" t="s">
        <v>15</v>
      </c>
      <c r="H639" t="s">
        <v>91</v>
      </c>
      <c r="I639">
        <v>20</v>
      </c>
      <c r="J639">
        <v>0</v>
      </c>
      <c r="K639">
        <v>8</v>
      </c>
      <c r="L639" t="s">
        <v>116</v>
      </c>
      <c r="M639">
        <v>19</v>
      </c>
      <c r="N639">
        <v>1</v>
      </c>
      <c r="O639" t="s">
        <v>15</v>
      </c>
      <c r="P639">
        <v>1</v>
      </c>
      <c r="Q639" t="s">
        <v>90</v>
      </c>
      <c r="R639" t="s">
        <v>104</v>
      </c>
    </row>
    <row r="640" spans="1:18">
      <c r="A640">
        <v>1849</v>
      </c>
      <c r="B640" t="s">
        <v>103</v>
      </c>
      <c r="C640">
        <v>39</v>
      </c>
      <c r="D640">
        <v>12</v>
      </c>
      <c r="E640" t="s">
        <v>96</v>
      </c>
      <c r="F640" t="s">
        <v>90</v>
      </c>
      <c r="G640" t="s">
        <v>15</v>
      </c>
      <c r="H640" t="s">
        <v>91</v>
      </c>
      <c r="I640">
        <v>20</v>
      </c>
      <c r="J640">
        <v>0</v>
      </c>
      <c r="K640">
        <v>8</v>
      </c>
      <c r="L640" t="s">
        <v>116</v>
      </c>
      <c r="M640">
        <v>19</v>
      </c>
      <c r="N640">
        <v>1</v>
      </c>
      <c r="O640" t="s">
        <v>15</v>
      </c>
      <c r="P640">
        <v>1</v>
      </c>
      <c r="Q640" t="s">
        <v>90</v>
      </c>
      <c r="R640" t="s">
        <v>104</v>
      </c>
    </row>
    <row r="641" spans="1:18">
      <c r="A641">
        <v>1850</v>
      </c>
      <c r="B641" t="s">
        <v>103</v>
      </c>
      <c r="C641">
        <v>40</v>
      </c>
      <c r="D641">
        <v>12</v>
      </c>
      <c r="E641" t="s">
        <v>96</v>
      </c>
      <c r="F641" t="s">
        <v>90</v>
      </c>
      <c r="G641" t="s">
        <v>15</v>
      </c>
      <c r="H641" t="s">
        <v>91</v>
      </c>
      <c r="I641">
        <v>20</v>
      </c>
      <c r="J641">
        <v>0</v>
      </c>
      <c r="K641">
        <v>8</v>
      </c>
      <c r="L641" t="s">
        <v>116</v>
      </c>
      <c r="M641">
        <v>19</v>
      </c>
      <c r="N641">
        <v>1</v>
      </c>
      <c r="O641" t="s">
        <v>15</v>
      </c>
      <c r="P641">
        <v>1</v>
      </c>
      <c r="Q641" t="s">
        <v>90</v>
      </c>
      <c r="R641" t="s">
        <v>104</v>
      </c>
    </row>
    <row r="642" spans="1:18">
      <c r="A642">
        <v>1851</v>
      </c>
      <c r="B642" t="s">
        <v>105</v>
      </c>
      <c r="C642">
        <v>1</v>
      </c>
      <c r="D642">
        <v>9</v>
      </c>
      <c r="E642" t="s">
        <v>89</v>
      </c>
      <c r="F642" t="s">
        <v>90</v>
      </c>
      <c r="G642" t="s">
        <v>15</v>
      </c>
      <c r="H642" t="s">
        <v>91</v>
      </c>
      <c r="I642">
        <v>20</v>
      </c>
      <c r="J642">
        <v>0</v>
      </c>
      <c r="K642">
        <v>8</v>
      </c>
      <c r="L642" t="s">
        <v>116</v>
      </c>
      <c r="M642">
        <v>20</v>
      </c>
      <c r="N642">
        <v>1</v>
      </c>
      <c r="O642" t="s">
        <v>15</v>
      </c>
      <c r="P642">
        <v>1</v>
      </c>
      <c r="Q642" t="s">
        <v>90</v>
      </c>
      <c r="R642" t="s">
        <v>106</v>
      </c>
    </row>
    <row r="643" spans="1:18">
      <c r="A643">
        <v>1852</v>
      </c>
      <c r="B643" t="s">
        <v>105</v>
      </c>
      <c r="C643">
        <v>2</v>
      </c>
      <c r="D643">
        <v>10</v>
      </c>
      <c r="E643" t="s">
        <v>94</v>
      </c>
      <c r="F643" t="s">
        <v>90</v>
      </c>
      <c r="G643" t="s">
        <v>15</v>
      </c>
      <c r="H643" t="s">
        <v>91</v>
      </c>
      <c r="I643">
        <v>20</v>
      </c>
      <c r="J643">
        <v>0</v>
      </c>
      <c r="K643">
        <v>8</v>
      </c>
      <c r="L643" t="s">
        <v>116</v>
      </c>
      <c r="M643">
        <v>20</v>
      </c>
      <c r="N643">
        <v>1</v>
      </c>
      <c r="O643" t="s">
        <v>15</v>
      </c>
      <c r="P643">
        <v>1</v>
      </c>
      <c r="Q643" t="s">
        <v>90</v>
      </c>
      <c r="R643" t="s">
        <v>106</v>
      </c>
    </row>
    <row r="644" spans="1:18">
      <c r="A644">
        <v>1853</v>
      </c>
      <c r="B644" t="s">
        <v>105</v>
      </c>
      <c r="C644">
        <v>3</v>
      </c>
      <c r="D644">
        <v>9</v>
      </c>
      <c r="E644" t="s">
        <v>89</v>
      </c>
      <c r="F644" t="s">
        <v>90</v>
      </c>
      <c r="G644" t="s">
        <v>15</v>
      </c>
      <c r="H644" t="s">
        <v>91</v>
      </c>
      <c r="I644">
        <v>20</v>
      </c>
      <c r="J644">
        <v>0</v>
      </c>
      <c r="K644">
        <v>8</v>
      </c>
      <c r="L644" t="s">
        <v>116</v>
      </c>
      <c r="M644">
        <v>20</v>
      </c>
      <c r="N644">
        <v>1</v>
      </c>
      <c r="O644" t="s">
        <v>15</v>
      </c>
      <c r="P644">
        <v>1</v>
      </c>
      <c r="Q644" t="s">
        <v>90</v>
      </c>
      <c r="R644" t="s">
        <v>106</v>
      </c>
    </row>
    <row r="645" spans="1:18">
      <c r="A645">
        <v>1854</v>
      </c>
      <c r="B645" t="s">
        <v>105</v>
      </c>
      <c r="C645">
        <v>4</v>
      </c>
      <c r="D645">
        <v>9</v>
      </c>
      <c r="E645" t="s">
        <v>89</v>
      </c>
      <c r="F645" t="s">
        <v>90</v>
      </c>
      <c r="G645" t="s">
        <v>15</v>
      </c>
      <c r="H645" t="s">
        <v>91</v>
      </c>
      <c r="I645">
        <v>20</v>
      </c>
      <c r="J645">
        <v>0</v>
      </c>
      <c r="K645">
        <v>8</v>
      </c>
      <c r="L645" t="s">
        <v>116</v>
      </c>
      <c r="M645">
        <v>20</v>
      </c>
      <c r="N645">
        <v>1</v>
      </c>
      <c r="O645" t="s">
        <v>15</v>
      </c>
      <c r="P645">
        <v>1</v>
      </c>
      <c r="Q645" t="s">
        <v>90</v>
      </c>
      <c r="R645" t="s">
        <v>106</v>
      </c>
    </row>
    <row r="646" spans="1:18">
      <c r="A646">
        <v>1855</v>
      </c>
      <c r="B646" t="s">
        <v>105</v>
      </c>
      <c r="C646">
        <v>5</v>
      </c>
      <c r="D646">
        <v>9</v>
      </c>
      <c r="E646" t="s">
        <v>89</v>
      </c>
      <c r="F646" t="s">
        <v>90</v>
      </c>
      <c r="G646" t="s">
        <v>15</v>
      </c>
      <c r="H646" t="s">
        <v>91</v>
      </c>
      <c r="I646">
        <v>20</v>
      </c>
      <c r="J646">
        <v>0</v>
      </c>
      <c r="K646">
        <v>8</v>
      </c>
      <c r="L646" t="s">
        <v>116</v>
      </c>
      <c r="M646">
        <v>20</v>
      </c>
      <c r="N646">
        <v>1</v>
      </c>
      <c r="O646" t="s">
        <v>15</v>
      </c>
      <c r="P646">
        <v>1</v>
      </c>
      <c r="Q646" t="s">
        <v>90</v>
      </c>
      <c r="R646" t="s">
        <v>106</v>
      </c>
    </row>
    <row r="647" spans="1:18">
      <c r="A647">
        <v>1856</v>
      </c>
      <c r="B647" t="s">
        <v>105</v>
      </c>
      <c r="C647">
        <v>6</v>
      </c>
      <c r="D647">
        <v>10</v>
      </c>
      <c r="E647" t="s">
        <v>94</v>
      </c>
      <c r="F647" t="s">
        <v>90</v>
      </c>
      <c r="G647" t="s">
        <v>15</v>
      </c>
      <c r="H647" t="s">
        <v>91</v>
      </c>
      <c r="I647">
        <v>20</v>
      </c>
      <c r="J647">
        <v>0</v>
      </c>
      <c r="K647">
        <v>8</v>
      </c>
      <c r="L647" t="s">
        <v>116</v>
      </c>
      <c r="M647">
        <v>20</v>
      </c>
      <c r="N647">
        <v>1</v>
      </c>
      <c r="O647" t="s">
        <v>15</v>
      </c>
      <c r="P647">
        <v>1</v>
      </c>
      <c r="Q647" t="s">
        <v>90</v>
      </c>
      <c r="R647" t="s">
        <v>106</v>
      </c>
    </row>
    <row r="648" spans="1:18">
      <c r="A648">
        <v>1857</v>
      </c>
      <c r="B648" t="s">
        <v>105</v>
      </c>
      <c r="C648">
        <v>7</v>
      </c>
      <c r="D648">
        <v>10</v>
      </c>
      <c r="E648" t="s">
        <v>94</v>
      </c>
      <c r="F648" t="s">
        <v>90</v>
      </c>
      <c r="G648" t="s">
        <v>15</v>
      </c>
      <c r="H648" t="s">
        <v>91</v>
      </c>
      <c r="I648">
        <v>20</v>
      </c>
      <c r="J648">
        <v>0</v>
      </c>
      <c r="K648">
        <v>8</v>
      </c>
      <c r="L648" t="s">
        <v>116</v>
      </c>
      <c r="M648">
        <v>20</v>
      </c>
      <c r="N648">
        <v>1</v>
      </c>
      <c r="O648" t="s">
        <v>15</v>
      </c>
      <c r="P648">
        <v>1</v>
      </c>
      <c r="Q648" t="s">
        <v>90</v>
      </c>
      <c r="R648" t="s">
        <v>106</v>
      </c>
    </row>
    <row r="649" spans="1:18">
      <c r="A649">
        <v>1858</v>
      </c>
      <c r="B649" t="s">
        <v>105</v>
      </c>
      <c r="C649">
        <v>8</v>
      </c>
      <c r="D649">
        <v>10</v>
      </c>
      <c r="E649" t="s">
        <v>94</v>
      </c>
      <c r="F649" t="s">
        <v>90</v>
      </c>
      <c r="G649" t="s">
        <v>15</v>
      </c>
      <c r="H649" t="s">
        <v>91</v>
      </c>
      <c r="I649">
        <v>20</v>
      </c>
      <c r="J649">
        <v>0</v>
      </c>
      <c r="K649">
        <v>8</v>
      </c>
      <c r="L649" t="s">
        <v>116</v>
      </c>
      <c r="M649">
        <v>20</v>
      </c>
      <c r="N649">
        <v>1</v>
      </c>
      <c r="O649" t="s">
        <v>15</v>
      </c>
      <c r="P649">
        <v>1</v>
      </c>
      <c r="Q649" t="s">
        <v>90</v>
      </c>
      <c r="R649" t="s">
        <v>106</v>
      </c>
    </row>
    <row r="650" spans="1:18">
      <c r="A650">
        <v>1859</v>
      </c>
      <c r="B650" t="s">
        <v>105</v>
      </c>
      <c r="C650">
        <v>9</v>
      </c>
      <c r="D650">
        <v>10</v>
      </c>
      <c r="E650" t="s">
        <v>94</v>
      </c>
      <c r="F650" t="s">
        <v>90</v>
      </c>
      <c r="G650" t="s">
        <v>15</v>
      </c>
      <c r="H650" t="s">
        <v>91</v>
      </c>
      <c r="I650">
        <v>20</v>
      </c>
      <c r="J650">
        <v>0</v>
      </c>
      <c r="K650">
        <v>8</v>
      </c>
      <c r="L650" t="s">
        <v>116</v>
      </c>
      <c r="M650">
        <v>20</v>
      </c>
      <c r="N650">
        <v>1</v>
      </c>
      <c r="O650" t="s">
        <v>15</v>
      </c>
      <c r="P650">
        <v>1</v>
      </c>
      <c r="Q650" t="s">
        <v>90</v>
      </c>
      <c r="R650" t="s">
        <v>106</v>
      </c>
    </row>
    <row r="651" spans="1:18">
      <c r="A651">
        <v>1860</v>
      </c>
      <c r="B651" t="s">
        <v>105</v>
      </c>
      <c r="C651">
        <v>10</v>
      </c>
      <c r="D651">
        <v>9</v>
      </c>
      <c r="E651" t="s">
        <v>89</v>
      </c>
      <c r="F651" t="s">
        <v>90</v>
      </c>
      <c r="G651" t="s">
        <v>15</v>
      </c>
      <c r="H651" t="s">
        <v>91</v>
      </c>
      <c r="I651">
        <v>20</v>
      </c>
      <c r="J651">
        <v>0</v>
      </c>
      <c r="K651">
        <v>8</v>
      </c>
      <c r="L651" t="s">
        <v>116</v>
      </c>
      <c r="M651">
        <v>20</v>
      </c>
      <c r="N651">
        <v>1</v>
      </c>
      <c r="O651" t="s">
        <v>15</v>
      </c>
      <c r="P651">
        <v>1</v>
      </c>
      <c r="Q651" t="s">
        <v>90</v>
      </c>
      <c r="R651" t="s">
        <v>106</v>
      </c>
    </row>
    <row r="652" spans="1:18">
      <c r="A652">
        <v>1861</v>
      </c>
      <c r="B652" t="s">
        <v>105</v>
      </c>
      <c r="C652">
        <v>11</v>
      </c>
      <c r="D652">
        <v>11</v>
      </c>
      <c r="E652" t="s">
        <v>95</v>
      </c>
      <c r="F652" t="s">
        <v>90</v>
      </c>
      <c r="G652" t="s">
        <v>15</v>
      </c>
      <c r="H652" t="s">
        <v>91</v>
      </c>
      <c r="I652">
        <v>20</v>
      </c>
      <c r="J652">
        <v>0</v>
      </c>
      <c r="K652">
        <v>8</v>
      </c>
      <c r="L652" t="s">
        <v>116</v>
      </c>
      <c r="M652">
        <v>20</v>
      </c>
      <c r="N652">
        <v>1</v>
      </c>
      <c r="O652" t="s">
        <v>15</v>
      </c>
      <c r="P652">
        <v>1</v>
      </c>
      <c r="Q652" t="s">
        <v>90</v>
      </c>
      <c r="R652" t="s">
        <v>106</v>
      </c>
    </row>
    <row r="653" spans="1:18">
      <c r="A653">
        <v>1862</v>
      </c>
      <c r="B653" t="s">
        <v>105</v>
      </c>
      <c r="C653">
        <v>12</v>
      </c>
      <c r="D653">
        <v>11</v>
      </c>
      <c r="E653" t="s">
        <v>95</v>
      </c>
      <c r="F653" t="s">
        <v>90</v>
      </c>
      <c r="G653" t="s">
        <v>15</v>
      </c>
      <c r="H653" t="s">
        <v>91</v>
      </c>
      <c r="I653">
        <v>20</v>
      </c>
      <c r="J653">
        <v>0</v>
      </c>
      <c r="K653">
        <v>8</v>
      </c>
      <c r="L653" t="s">
        <v>116</v>
      </c>
      <c r="M653">
        <v>20</v>
      </c>
      <c r="N653">
        <v>1</v>
      </c>
      <c r="O653" t="s">
        <v>15</v>
      </c>
      <c r="P653">
        <v>1</v>
      </c>
      <c r="Q653" t="s">
        <v>90</v>
      </c>
      <c r="R653" t="s">
        <v>106</v>
      </c>
    </row>
    <row r="654" spans="1:18">
      <c r="A654">
        <v>1863</v>
      </c>
      <c r="B654" t="s">
        <v>105</v>
      </c>
      <c r="C654">
        <v>13</v>
      </c>
      <c r="D654">
        <v>11</v>
      </c>
      <c r="E654" t="s">
        <v>95</v>
      </c>
      <c r="F654" t="s">
        <v>90</v>
      </c>
      <c r="G654" t="s">
        <v>15</v>
      </c>
      <c r="H654" t="s">
        <v>91</v>
      </c>
      <c r="I654">
        <v>20</v>
      </c>
      <c r="J654">
        <v>0</v>
      </c>
      <c r="K654">
        <v>8</v>
      </c>
      <c r="L654" t="s">
        <v>116</v>
      </c>
      <c r="M654">
        <v>20</v>
      </c>
      <c r="N654">
        <v>1</v>
      </c>
      <c r="O654" t="s">
        <v>15</v>
      </c>
      <c r="P654">
        <v>1</v>
      </c>
      <c r="Q654" t="s">
        <v>90</v>
      </c>
      <c r="R654" t="s">
        <v>106</v>
      </c>
    </row>
    <row r="655" spans="1:18">
      <c r="A655">
        <v>1864</v>
      </c>
      <c r="B655" t="s">
        <v>105</v>
      </c>
      <c r="C655">
        <v>14</v>
      </c>
      <c r="D655">
        <v>11</v>
      </c>
      <c r="E655" t="s">
        <v>95</v>
      </c>
      <c r="F655" t="s">
        <v>90</v>
      </c>
      <c r="G655" t="s">
        <v>15</v>
      </c>
      <c r="H655" t="s">
        <v>91</v>
      </c>
      <c r="I655">
        <v>20</v>
      </c>
      <c r="J655">
        <v>0</v>
      </c>
      <c r="K655">
        <v>8</v>
      </c>
      <c r="L655" t="s">
        <v>116</v>
      </c>
      <c r="M655">
        <v>20</v>
      </c>
      <c r="N655">
        <v>1</v>
      </c>
      <c r="O655" t="s">
        <v>15</v>
      </c>
      <c r="P655">
        <v>1</v>
      </c>
      <c r="Q655" t="s">
        <v>90</v>
      </c>
      <c r="R655" t="s">
        <v>106</v>
      </c>
    </row>
    <row r="656" spans="1:18">
      <c r="A656">
        <v>1865</v>
      </c>
      <c r="B656" t="s">
        <v>105</v>
      </c>
      <c r="C656">
        <v>15</v>
      </c>
      <c r="D656">
        <v>11</v>
      </c>
      <c r="E656" t="s">
        <v>95</v>
      </c>
      <c r="F656" t="s">
        <v>90</v>
      </c>
      <c r="G656" t="s">
        <v>15</v>
      </c>
      <c r="H656" t="s">
        <v>91</v>
      </c>
      <c r="I656">
        <v>20</v>
      </c>
      <c r="J656">
        <v>0</v>
      </c>
      <c r="K656">
        <v>8</v>
      </c>
      <c r="L656" t="s">
        <v>116</v>
      </c>
      <c r="M656">
        <v>20</v>
      </c>
      <c r="N656">
        <v>1</v>
      </c>
      <c r="O656" t="s">
        <v>15</v>
      </c>
      <c r="P656">
        <v>1</v>
      </c>
      <c r="Q656" t="s">
        <v>90</v>
      </c>
      <c r="R656" t="s">
        <v>106</v>
      </c>
    </row>
    <row r="657" spans="1:18">
      <c r="A657">
        <v>1866</v>
      </c>
      <c r="B657" t="s">
        <v>105</v>
      </c>
      <c r="C657">
        <v>16</v>
      </c>
      <c r="D657">
        <v>11</v>
      </c>
      <c r="E657" t="s">
        <v>95</v>
      </c>
      <c r="F657" t="s">
        <v>90</v>
      </c>
      <c r="G657" t="s">
        <v>15</v>
      </c>
      <c r="H657" t="s">
        <v>91</v>
      </c>
      <c r="I657">
        <v>20</v>
      </c>
      <c r="J657">
        <v>0</v>
      </c>
      <c r="K657">
        <v>8</v>
      </c>
      <c r="L657" t="s">
        <v>116</v>
      </c>
      <c r="M657">
        <v>20</v>
      </c>
      <c r="N657">
        <v>1</v>
      </c>
      <c r="O657" t="s">
        <v>15</v>
      </c>
      <c r="P657">
        <v>1</v>
      </c>
      <c r="Q657" t="s">
        <v>90</v>
      </c>
      <c r="R657" t="s">
        <v>106</v>
      </c>
    </row>
    <row r="658" spans="1:18">
      <c r="A658">
        <v>1867</v>
      </c>
      <c r="B658" t="s">
        <v>105</v>
      </c>
      <c r="C658">
        <v>17</v>
      </c>
      <c r="D658">
        <v>11</v>
      </c>
      <c r="E658" t="s">
        <v>95</v>
      </c>
      <c r="F658" t="s">
        <v>90</v>
      </c>
      <c r="G658" t="s">
        <v>15</v>
      </c>
      <c r="H658" t="s">
        <v>91</v>
      </c>
      <c r="I658">
        <v>20</v>
      </c>
      <c r="J658">
        <v>0</v>
      </c>
      <c r="K658">
        <v>8</v>
      </c>
      <c r="L658" t="s">
        <v>116</v>
      </c>
      <c r="M658">
        <v>20</v>
      </c>
      <c r="N658">
        <v>1</v>
      </c>
      <c r="O658" t="s">
        <v>15</v>
      </c>
      <c r="P658">
        <v>1</v>
      </c>
      <c r="Q658" t="s">
        <v>90</v>
      </c>
      <c r="R658" t="s">
        <v>106</v>
      </c>
    </row>
    <row r="659" spans="1:18">
      <c r="A659">
        <v>1868</v>
      </c>
      <c r="B659" t="s">
        <v>105</v>
      </c>
      <c r="C659">
        <v>18</v>
      </c>
      <c r="D659">
        <v>11</v>
      </c>
      <c r="E659" t="s">
        <v>95</v>
      </c>
      <c r="F659" t="s">
        <v>90</v>
      </c>
      <c r="G659" t="s">
        <v>15</v>
      </c>
      <c r="H659" t="s">
        <v>91</v>
      </c>
      <c r="I659">
        <v>20</v>
      </c>
      <c r="J659">
        <v>0</v>
      </c>
      <c r="K659">
        <v>8</v>
      </c>
      <c r="L659" t="s">
        <v>116</v>
      </c>
      <c r="M659">
        <v>20</v>
      </c>
      <c r="N659">
        <v>1</v>
      </c>
      <c r="O659" t="s">
        <v>15</v>
      </c>
      <c r="P659">
        <v>1</v>
      </c>
      <c r="Q659" t="s">
        <v>90</v>
      </c>
      <c r="R659" t="s">
        <v>106</v>
      </c>
    </row>
    <row r="660" spans="1:18">
      <c r="A660">
        <v>1869</v>
      </c>
      <c r="B660" t="s">
        <v>105</v>
      </c>
      <c r="C660">
        <v>19</v>
      </c>
      <c r="D660">
        <v>11</v>
      </c>
      <c r="E660" t="s">
        <v>95</v>
      </c>
      <c r="F660" t="s">
        <v>90</v>
      </c>
      <c r="G660" t="s">
        <v>15</v>
      </c>
      <c r="H660" t="s">
        <v>91</v>
      </c>
      <c r="I660">
        <v>20</v>
      </c>
      <c r="J660">
        <v>0</v>
      </c>
      <c r="K660">
        <v>8</v>
      </c>
      <c r="L660" t="s">
        <v>116</v>
      </c>
      <c r="M660">
        <v>20</v>
      </c>
      <c r="N660">
        <v>1</v>
      </c>
      <c r="O660" t="s">
        <v>15</v>
      </c>
      <c r="P660">
        <v>1</v>
      </c>
      <c r="Q660" t="s">
        <v>90</v>
      </c>
      <c r="R660" t="s">
        <v>106</v>
      </c>
    </row>
    <row r="661" spans="1:18">
      <c r="A661">
        <v>1870</v>
      </c>
      <c r="B661" t="s">
        <v>105</v>
      </c>
      <c r="C661">
        <v>20</v>
      </c>
      <c r="D661">
        <v>11</v>
      </c>
      <c r="E661" t="s">
        <v>95</v>
      </c>
      <c r="F661" t="s">
        <v>90</v>
      </c>
      <c r="G661" t="s">
        <v>15</v>
      </c>
      <c r="H661" t="s">
        <v>91</v>
      </c>
      <c r="I661">
        <v>20</v>
      </c>
      <c r="J661">
        <v>0</v>
      </c>
      <c r="K661">
        <v>8</v>
      </c>
      <c r="L661" t="s">
        <v>116</v>
      </c>
      <c r="M661">
        <v>20</v>
      </c>
      <c r="N661">
        <v>1</v>
      </c>
      <c r="O661" t="s">
        <v>15</v>
      </c>
      <c r="P661">
        <v>1</v>
      </c>
      <c r="Q661" t="s">
        <v>90</v>
      </c>
      <c r="R661" t="s">
        <v>106</v>
      </c>
    </row>
    <row r="662" spans="1:18">
      <c r="A662">
        <v>1871</v>
      </c>
      <c r="B662" t="s">
        <v>105</v>
      </c>
      <c r="C662">
        <v>21</v>
      </c>
      <c r="D662">
        <v>9</v>
      </c>
      <c r="E662" t="s">
        <v>89</v>
      </c>
      <c r="F662" t="s">
        <v>90</v>
      </c>
      <c r="G662" t="s">
        <v>15</v>
      </c>
      <c r="H662" t="s">
        <v>91</v>
      </c>
      <c r="I662">
        <v>20</v>
      </c>
      <c r="J662">
        <v>0</v>
      </c>
      <c r="K662">
        <v>8</v>
      </c>
      <c r="L662" t="s">
        <v>116</v>
      </c>
      <c r="M662">
        <v>20</v>
      </c>
      <c r="N662">
        <v>1</v>
      </c>
      <c r="O662" t="s">
        <v>15</v>
      </c>
      <c r="P662">
        <v>1</v>
      </c>
      <c r="Q662" t="s">
        <v>90</v>
      </c>
      <c r="R662" t="s">
        <v>106</v>
      </c>
    </row>
    <row r="663" spans="1:18">
      <c r="A663">
        <v>1872</v>
      </c>
      <c r="B663" t="s">
        <v>105</v>
      </c>
      <c r="C663">
        <v>22</v>
      </c>
      <c r="D663">
        <v>10</v>
      </c>
      <c r="E663" t="s">
        <v>94</v>
      </c>
      <c r="F663" t="s">
        <v>90</v>
      </c>
      <c r="G663" t="s">
        <v>15</v>
      </c>
      <c r="H663" t="s">
        <v>91</v>
      </c>
      <c r="I663">
        <v>20</v>
      </c>
      <c r="J663">
        <v>0</v>
      </c>
      <c r="K663">
        <v>8</v>
      </c>
      <c r="L663" t="s">
        <v>116</v>
      </c>
      <c r="M663">
        <v>20</v>
      </c>
      <c r="N663">
        <v>1</v>
      </c>
      <c r="O663" t="s">
        <v>15</v>
      </c>
      <c r="P663">
        <v>1</v>
      </c>
      <c r="Q663" t="s">
        <v>90</v>
      </c>
      <c r="R663" t="s">
        <v>106</v>
      </c>
    </row>
    <row r="664" spans="1:18">
      <c r="A664">
        <v>1873</v>
      </c>
      <c r="B664" t="s">
        <v>105</v>
      </c>
      <c r="C664">
        <v>23</v>
      </c>
      <c r="D664">
        <v>9</v>
      </c>
      <c r="E664" t="s">
        <v>89</v>
      </c>
      <c r="F664" t="s">
        <v>90</v>
      </c>
      <c r="G664" t="s">
        <v>15</v>
      </c>
      <c r="H664" t="s">
        <v>91</v>
      </c>
      <c r="I664">
        <v>20</v>
      </c>
      <c r="J664">
        <v>0</v>
      </c>
      <c r="K664">
        <v>8</v>
      </c>
      <c r="L664" t="s">
        <v>116</v>
      </c>
      <c r="M664">
        <v>20</v>
      </c>
      <c r="N664">
        <v>1</v>
      </c>
      <c r="O664" t="s">
        <v>15</v>
      </c>
      <c r="P664">
        <v>1</v>
      </c>
      <c r="Q664" t="s">
        <v>90</v>
      </c>
      <c r="R664" t="s">
        <v>106</v>
      </c>
    </row>
    <row r="665" spans="1:18">
      <c r="A665">
        <v>1874</v>
      </c>
      <c r="B665" t="s">
        <v>105</v>
      </c>
      <c r="C665">
        <v>24</v>
      </c>
      <c r="D665">
        <v>10</v>
      </c>
      <c r="E665" t="s">
        <v>94</v>
      </c>
      <c r="F665" t="s">
        <v>90</v>
      </c>
      <c r="G665" t="s">
        <v>15</v>
      </c>
      <c r="H665" t="s">
        <v>91</v>
      </c>
      <c r="I665">
        <v>20</v>
      </c>
      <c r="J665">
        <v>0</v>
      </c>
      <c r="K665">
        <v>8</v>
      </c>
      <c r="L665" t="s">
        <v>116</v>
      </c>
      <c r="M665">
        <v>20</v>
      </c>
      <c r="N665">
        <v>1</v>
      </c>
      <c r="O665" t="s">
        <v>15</v>
      </c>
      <c r="P665">
        <v>1</v>
      </c>
      <c r="Q665" t="s">
        <v>90</v>
      </c>
      <c r="R665" t="s">
        <v>106</v>
      </c>
    </row>
    <row r="666" spans="1:18">
      <c r="A666">
        <v>1875</v>
      </c>
      <c r="B666" t="s">
        <v>105</v>
      </c>
      <c r="C666">
        <v>25</v>
      </c>
      <c r="D666">
        <v>9</v>
      </c>
      <c r="E666" t="s">
        <v>89</v>
      </c>
      <c r="F666" t="s">
        <v>90</v>
      </c>
      <c r="G666" t="s">
        <v>15</v>
      </c>
      <c r="H666" t="s">
        <v>91</v>
      </c>
      <c r="I666">
        <v>20</v>
      </c>
      <c r="J666">
        <v>0</v>
      </c>
      <c r="K666">
        <v>8</v>
      </c>
      <c r="L666" t="s">
        <v>116</v>
      </c>
      <c r="M666">
        <v>20</v>
      </c>
      <c r="N666">
        <v>1</v>
      </c>
      <c r="O666" t="s">
        <v>15</v>
      </c>
      <c r="P666">
        <v>1</v>
      </c>
      <c r="Q666" t="s">
        <v>90</v>
      </c>
      <c r="R666" t="s">
        <v>106</v>
      </c>
    </row>
    <row r="667" spans="1:18">
      <c r="A667">
        <v>1876</v>
      </c>
      <c r="B667" t="s">
        <v>105</v>
      </c>
      <c r="C667">
        <v>26</v>
      </c>
      <c r="D667">
        <v>10</v>
      </c>
      <c r="E667" t="s">
        <v>94</v>
      </c>
      <c r="F667" t="s">
        <v>90</v>
      </c>
      <c r="G667" t="s">
        <v>15</v>
      </c>
      <c r="H667" t="s">
        <v>91</v>
      </c>
      <c r="I667">
        <v>20</v>
      </c>
      <c r="J667">
        <v>0</v>
      </c>
      <c r="K667">
        <v>8</v>
      </c>
      <c r="L667" t="s">
        <v>116</v>
      </c>
      <c r="M667">
        <v>20</v>
      </c>
      <c r="N667">
        <v>1</v>
      </c>
      <c r="O667" t="s">
        <v>15</v>
      </c>
      <c r="P667">
        <v>1</v>
      </c>
      <c r="Q667" t="s">
        <v>90</v>
      </c>
      <c r="R667" t="s">
        <v>106</v>
      </c>
    </row>
    <row r="668" spans="1:18">
      <c r="A668">
        <v>1877</v>
      </c>
      <c r="B668" t="s">
        <v>105</v>
      </c>
      <c r="C668">
        <v>27</v>
      </c>
      <c r="D668">
        <v>9</v>
      </c>
      <c r="E668" t="s">
        <v>89</v>
      </c>
      <c r="F668" t="s">
        <v>90</v>
      </c>
      <c r="G668" t="s">
        <v>15</v>
      </c>
      <c r="H668" t="s">
        <v>91</v>
      </c>
      <c r="I668">
        <v>20</v>
      </c>
      <c r="J668">
        <v>0</v>
      </c>
      <c r="K668">
        <v>8</v>
      </c>
      <c r="L668" t="s">
        <v>116</v>
      </c>
      <c r="M668">
        <v>20</v>
      </c>
      <c r="N668">
        <v>1</v>
      </c>
      <c r="O668" t="s">
        <v>15</v>
      </c>
      <c r="P668">
        <v>1</v>
      </c>
      <c r="Q668" t="s">
        <v>90</v>
      </c>
      <c r="R668" t="s">
        <v>106</v>
      </c>
    </row>
    <row r="669" spans="1:18">
      <c r="A669">
        <v>1878</v>
      </c>
      <c r="B669" t="s">
        <v>105</v>
      </c>
      <c r="C669">
        <v>28</v>
      </c>
      <c r="D669">
        <v>10</v>
      </c>
      <c r="E669" t="s">
        <v>94</v>
      </c>
      <c r="F669" t="s">
        <v>90</v>
      </c>
      <c r="G669" t="s">
        <v>15</v>
      </c>
      <c r="H669" t="s">
        <v>91</v>
      </c>
      <c r="I669">
        <v>20</v>
      </c>
      <c r="J669">
        <v>0</v>
      </c>
      <c r="K669">
        <v>8</v>
      </c>
      <c r="L669" t="s">
        <v>116</v>
      </c>
      <c r="M669">
        <v>20</v>
      </c>
      <c r="N669">
        <v>1</v>
      </c>
      <c r="O669" t="s">
        <v>15</v>
      </c>
      <c r="P669">
        <v>1</v>
      </c>
      <c r="Q669" t="s">
        <v>90</v>
      </c>
      <c r="R669" t="s">
        <v>106</v>
      </c>
    </row>
    <row r="670" spans="1:18">
      <c r="A670">
        <v>1879</v>
      </c>
      <c r="B670" t="s">
        <v>105</v>
      </c>
      <c r="C670">
        <v>29</v>
      </c>
      <c r="D670">
        <v>9</v>
      </c>
      <c r="E670" t="s">
        <v>89</v>
      </c>
      <c r="F670" t="s">
        <v>90</v>
      </c>
      <c r="G670" t="s">
        <v>15</v>
      </c>
      <c r="H670" t="s">
        <v>91</v>
      </c>
      <c r="I670">
        <v>20</v>
      </c>
      <c r="J670">
        <v>0</v>
      </c>
      <c r="K670">
        <v>8</v>
      </c>
      <c r="L670" t="s">
        <v>116</v>
      </c>
      <c r="M670">
        <v>20</v>
      </c>
      <c r="N670">
        <v>1</v>
      </c>
      <c r="O670" t="s">
        <v>15</v>
      </c>
      <c r="P670">
        <v>1</v>
      </c>
      <c r="Q670" t="s">
        <v>90</v>
      </c>
      <c r="R670" t="s">
        <v>106</v>
      </c>
    </row>
    <row r="671" spans="1:18">
      <c r="A671">
        <v>1880</v>
      </c>
      <c r="B671" t="s">
        <v>105</v>
      </c>
      <c r="C671">
        <v>30</v>
      </c>
      <c r="D671">
        <v>10</v>
      </c>
      <c r="E671" t="s">
        <v>94</v>
      </c>
      <c r="F671" t="s">
        <v>90</v>
      </c>
      <c r="G671" t="s">
        <v>15</v>
      </c>
      <c r="H671" t="s">
        <v>91</v>
      </c>
      <c r="I671">
        <v>20</v>
      </c>
      <c r="J671">
        <v>0</v>
      </c>
      <c r="K671">
        <v>8</v>
      </c>
      <c r="L671" t="s">
        <v>116</v>
      </c>
      <c r="M671">
        <v>20</v>
      </c>
      <c r="N671">
        <v>1</v>
      </c>
      <c r="O671" t="s">
        <v>15</v>
      </c>
      <c r="P671">
        <v>1</v>
      </c>
      <c r="Q671" t="s">
        <v>90</v>
      </c>
      <c r="R671" t="s">
        <v>106</v>
      </c>
    </row>
    <row r="672" spans="1:18">
      <c r="A672">
        <v>1881</v>
      </c>
      <c r="B672" t="s">
        <v>105</v>
      </c>
      <c r="C672">
        <v>31</v>
      </c>
      <c r="D672">
        <v>12</v>
      </c>
      <c r="E672" t="s">
        <v>96</v>
      </c>
      <c r="F672" t="s">
        <v>90</v>
      </c>
      <c r="G672" t="s">
        <v>15</v>
      </c>
      <c r="H672" t="s">
        <v>91</v>
      </c>
      <c r="I672">
        <v>20</v>
      </c>
      <c r="J672">
        <v>0</v>
      </c>
      <c r="K672">
        <v>8</v>
      </c>
      <c r="L672" t="s">
        <v>116</v>
      </c>
      <c r="M672">
        <v>20</v>
      </c>
      <c r="N672">
        <v>1</v>
      </c>
      <c r="O672" t="s">
        <v>15</v>
      </c>
      <c r="P672">
        <v>1</v>
      </c>
      <c r="Q672" t="s">
        <v>90</v>
      </c>
      <c r="R672" t="s">
        <v>106</v>
      </c>
    </row>
    <row r="673" spans="1:18">
      <c r="A673">
        <v>1882</v>
      </c>
      <c r="B673" t="s">
        <v>105</v>
      </c>
      <c r="C673">
        <v>32</v>
      </c>
      <c r="D673">
        <v>12</v>
      </c>
      <c r="E673" t="s">
        <v>96</v>
      </c>
      <c r="F673" t="s">
        <v>90</v>
      </c>
      <c r="G673" t="s">
        <v>15</v>
      </c>
      <c r="H673" t="s">
        <v>91</v>
      </c>
      <c r="I673">
        <v>20</v>
      </c>
      <c r="J673">
        <v>0</v>
      </c>
      <c r="K673">
        <v>8</v>
      </c>
      <c r="L673" t="s">
        <v>116</v>
      </c>
      <c r="M673">
        <v>20</v>
      </c>
      <c r="N673">
        <v>1</v>
      </c>
      <c r="O673" t="s">
        <v>15</v>
      </c>
      <c r="P673">
        <v>1</v>
      </c>
      <c r="Q673" t="s">
        <v>90</v>
      </c>
      <c r="R673" t="s">
        <v>106</v>
      </c>
    </row>
    <row r="674" spans="1:18">
      <c r="A674">
        <v>1883</v>
      </c>
      <c r="B674" t="s">
        <v>105</v>
      </c>
      <c r="C674">
        <v>33</v>
      </c>
      <c r="D674">
        <v>12</v>
      </c>
      <c r="E674" t="s">
        <v>96</v>
      </c>
      <c r="F674" t="s">
        <v>90</v>
      </c>
      <c r="G674" t="s">
        <v>15</v>
      </c>
      <c r="H674" t="s">
        <v>91</v>
      </c>
      <c r="I674">
        <v>20</v>
      </c>
      <c r="J674">
        <v>0</v>
      </c>
      <c r="K674">
        <v>8</v>
      </c>
      <c r="L674" t="s">
        <v>116</v>
      </c>
      <c r="M674">
        <v>20</v>
      </c>
      <c r="N674">
        <v>1</v>
      </c>
      <c r="O674" t="s">
        <v>15</v>
      </c>
      <c r="P674">
        <v>1</v>
      </c>
      <c r="Q674" t="s">
        <v>90</v>
      </c>
      <c r="R674" t="s">
        <v>106</v>
      </c>
    </row>
    <row r="675" spans="1:18">
      <c r="A675">
        <v>1884</v>
      </c>
      <c r="B675" t="s">
        <v>105</v>
      </c>
      <c r="C675">
        <v>34</v>
      </c>
      <c r="D675">
        <v>12</v>
      </c>
      <c r="E675" t="s">
        <v>96</v>
      </c>
      <c r="F675" t="s">
        <v>90</v>
      </c>
      <c r="G675" t="s">
        <v>15</v>
      </c>
      <c r="H675" t="s">
        <v>91</v>
      </c>
      <c r="I675">
        <v>20</v>
      </c>
      <c r="J675">
        <v>0</v>
      </c>
      <c r="K675">
        <v>8</v>
      </c>
      <c r="L675" t="s">
        <v>116</v>
      </c>
      <c r="M675">
        <v>20</v>
      </c>
      <c r="N675">
        <v>1</v>
      </c>
      <c r="O675" t="s">
        <v>15</v>
      </c>
      <c r="P675">
        <v>1</v>
      </c>
      <c r="Q675" t="s">
        <v>90</v>
      </c>
      <c r="R675" t="s">
        <v>106</v>
      </c>
    </row>
    <row r="676" spans="1:18">
      <c r="A676">
        <v>1885</v>
      </c>
      <c r="B676" t="s">
        <v>105</v>
      </c>
      <c r="C676">
        <v>35</v>
      </c>
      <c r="D676">
        <v>12</v>
      </c>
      <c r="E676" t="s">
        <v>96</v>
      </c>
      <c r="F676" t="s">
        <v>90</v>
      </c>
      <c r="G676" t="s">
        <v>15</v>
      </c>
      <c r="H676" t="s">
        <v>91</v>
      </c>
      <c r="I676">
        <v>20</v>
      </c>
      <c r="J676">
        <v>0</v>
      </c>
      <c r="K676">
        <v>8</v>
      </c>
      <c r="L676" t="s">
        <v>116</v>
      </c>
      <c r="M676">
        <v>20</v>
      </c>
      <c r="N676">
        <v>1</v>
      </c>
      <c r="O676" t="s">
        <v>15</v>
      </c>
      <c r="P676">
        <v>1</v>
      </c>
      <c r="Q676" t="s">
        <v>90</v>
      </c>
      <c r="R676" t="s">
        <v>106</v>
      </c>
    </row>
    <row r="677" spans="1:18">
      <c r="A677">
        <v>1886</v>
      </c>
      <c r="B677" t="s">
        <v>105</v>
      </c>
      <c r="C677">
        <v>36</v>
      </c>
      <c r="D677">
        <v>12</v>
      </c>
      <c r="E677" t="s">
        <v>96</v>
      </c>
      <c r="F677" t="s">
        <v>90</v>
      </c>
      <c r="G677" t="s">
        <v>15</v>
      </c>
      <c r="H677" t="s">
        <v>91</v>
      </c>
      <c r="I677">
        <v>20</v>
      </c>
      <c r="J677">
        <v>0</v>
      </c>
      <c r="K677">
        <v>8</v>
      </c>
      <c r="L677" t="s">
        <v>116</v>
      </c>
      <c r="M677">
        <v>20</v>
      </c>
      <c r="N677">
        <v>1</v>
      </c>
      <c r="O677" t="s">
        <v>15</v>
      </c>
      <c r="P677">
        <v>1</v>
      </c>
      <c r="Q677" t="s">
        <v>90</v>
      </c>
      <c r="R677" t="s">
        <v>106</v>
      </c>
    </row>
    <row r="678" spans="1:18">
      <c r="A678">
        <v>1887</v>
      </c>
      <c r="B678" t="s">
        <v>105</v>
      </c>
      <c r="C678">
        <v>37</v>
      </c>
      <c r="D678">
        <v>12</v>
      </c>
      <c r="E678" t="s">
        <v>96</v>
      </c>
      <c r="F678" t="s">
        <v>90</v>
      </c>
      <c r="G678" t="s">
        <v>15</v>
      </c>
      <c r="H678" t="s">
        <v>91</v>
      </c>
      <c r="I678">
        <v>20</v>
      </c>
      <c r="J678">
        <v>0</v>
      </c>
      <c r="K678">
        <v>8</v>
      </c>
      <c r="L678" t="s">
        <v>116</v>
      </c>
      <c r="M678">
        <v>20</v>
      </c>
      <c r="N678">
        <v>1</v>
      </c>
      <c r="O678" t="s">
        <v>15</v>
      </c>
      <c r="P678">
        <v>1</v>
      </c>
      <c r="Q678" t="s">
        <v>90</v>
      </c>
      <c r="R678" t="s">
        <v>106</v>
      </c>
    </row>
    <row r="679" spans="1:18">
      <c r="A679">
        <v>1888</v>
      </c>
      <c r="B679" t="s">
        <v>105</v>
      </c>
      <c r="C679">
        <v>38</v>
      </c>
      <c r="D679">
        <v>12</v>
      </c>
      <c r="E679" t="s">
        <v>96</v>
      </c>
      <c r="F679" t="s">
        <v>90</v>
      </c>
      <c r="G679" t="s">
        <v>15</v>
      </c>
      <c r="H679" t="s">
        <v>91</v>
      </c>
      <c r="I679">
        <v>20</v>
      </c>
      <c r="J679">
        <v>0</v>
      </c>
      <c r="K679">
        <v>8</v>
      </c>
      <c r="L679" t="s">
        <v>116</v>
      </c>
      <c r="M679">
        <v>20</v>
      </c>
      <c r="N679">
        <v>1</v>
      </c>
      <c r="O679" t="s">
        <v>15</v>
      </c>
      <c r="P679">
        <v>1</v>
      </c>
      <c r="Q679" t="s">
        <v>90</v>
      </c>
      <c r="R679" t="s">
        <v>106</v>
      </c>
    </row>
    <row r="680" spans="1:18">
      <c r="A680">
        <v>1889</v>
      </c>
      <c r="B680" t="s">
        <v>105</v>
      </c>
      <c r="C680">
        <v>39</v>
      </c>
      <c r="D680">
        <v>12</v>
      </c>
      <c r="E680" t="s">
        <v>96</v>
      </c>
      <c r="F680" t="s">
        <v>90</v>
      </c>
      <c r="G680" t="s">
        <v>15</v>
      </c>
      <c r="H680" t="s">
        <v>91</v>
      </c>
      <c r="I680">
        <v>20</v>
      </c>
      <c r="J680">
        <v>0</v>
      </c>
      <c r="K680">
        <v>8</v>
      </c>
      <c r="L680" t="s">
        <v>116</v>
      </c>
      <c r="M680">
        <v>20</v>
      </c>
      <c r="N680">
        <v>1</v>
      </c>
      <c r="O680" t="s">
        <v>15</v>
      </c>
      <c r="P680">
        <v>1</v>
      </c>
      <c r="Q680" t="s">
        <v>90</v>
      </c>
      <c r="R680" t="s">
        <v>106</v>
      </c>
    </row>
    <row r="681" spans="1:18">
      <c r="A681">
        <v>1890</v>
      </c>
      <c r="B681" t="s">
        <v>105</v>
      </c>
      <c r="C681">
        <v>40</v>
      </c>
      <c r="D681">
        <v>12</v>
      </c>
      <c r="E681" t="s">
        <v>96</v>
      </c>
      <c r="F681" t="s">
        <v>90</v>
      </c>
      <c r="G681" t="s">
        <v>15</v>
      </c>
      <c r="H681" t="s">
        <v>91</v>
      </c>
      <c r="I681">
        <v>20</v>
      </c>
      <c r="J681">
        <v>0</v>
      </c>
      <c r="K681">
        <v>8</v>
      </c>
      <c r="L681" t="s">
        <v>116</v>
      </c>
      <c r="M681">
        <v>20</v>
      </c>
      <c r="N681">
        <v>1</v>
      </c>
      <c r="O681" t="s">
        <v>15</v>
      </c>
      <c r="P681">
        <v>1</v>
      </c>
      <c r="Q681" t="s">
        <v>90</v>
      </c>
      <c r="R681" t="s">
        <v>106</v>
      </c>
    </row>
    <row r="682" spans="1:18">
      <c r="A682">
        <v>1891</v>
      </c>
      <c r="B682" t="s">
        <v>107</v>
      </c>
      <c r="C682">
        <v>1</v>
      </c>
      <c r="D682">
        <v>9</v>
      </c>
      <c r="E682" t="s">
        <v>89</v>
      </c>
      <c r="F682" t="s">
        <v>90</v>
      </c>
      <c r="G682" t="s">
        <v>15</v>
      </c>
      <c r="H682" t="s">
        <v>91</v>
      </c>
      <c r="I682">
        <v>20</v>
      </c>
      <c r="J682">
        <v>0</v>
      </c>
      <c r="K682">
        <v>8</v>
      </c>
      <c r="L682" t="s">
        <v>116</v>
      </c>
      <c r="M682">
        <v>21</v>
      </c>
      <c r="N682">
        <v>1</v>
      </c>
      <c r="O682" t="s">
        <v>15</v>
      </c>
      <c r="P682">
        <v>1</v>
      </c>
      <c r="Q682" t="s">
        <v>90</v>
      </c>
      <c r="R682" t="s">
        <v>6</v>
      </c>
    </row>
    <row r="683" spans="1:18">
      <c r="A683">
        <v>1892</v>
      </c>
      <c r="B683" t="s">
        <v>107</v>
      </c>
      <c r="C683">
        <v>2</v>
      </c>
      <c r="D683">
        <v>10</v>
      </c>
      <c r="E683" t="s">
        <v>94</v>
      </c>
      <c r="F683" t="s">
        <v>90</v>
      </c>
      <c r="G683" t="s">
        <v>15</v>
      </c>
      <c r="H683" t="s">
        <v>91</v>
      </c>
      <c r="I683">
        <v>20</v>
      </c>
      <c r="J683">
        <v>0</v>
      </c>
      <c r="K683">
        <v>8</v>
      </c>
      <c r="L683" t="s">
        <v>116</v>
      </c>
      <c r="M683">
        <v>21</v>
      </c>
      <c r="N683">
        <v>1</v>
      </c>
      <c r="O683" t="s">
        <v>15</v>
      </c>
      <c r="P683">
        <v>1</v>
      </c>
      <c r="Q683" t="s">
        <v>90</v>
      </c>
      <c r="R683" t="s">
        <v>6</v>
      </c>
    </row>
    <row r="684" spans="1:18">
      <c r="A684">
        <v>1893</v>
      </c>
      <c r="B684" t="s">
        <v>107</v>
      </c>
      <c r="C684">
        <v>3</v>
      </c>
      <c r="D684">
        <v>9</v>
      </c>
      <c r="E684" t="s">
        <v>89</v>
      </c>
      <c r="F684" t="s">
        <v>90</v>
      </c>
      <c r="G684" t="s">
        <v>15</v>
      </c>
      <c r="H684" t="s">
        <v>91</v>
      </c>
      <c r="I684">
        <v>20</v>
      </c>
      <c r="J684">
        <v>0</v>
      </c>
      <c r="K684">
        <v>8</v>
      </c>
      <c r="L684" t="s">
        <v>116</v>
      </c>
      <c r="M684">
        <v>21</v>
      </c>
      <c r="N684">
        <v>1</v>
      </c>
      <c r="O684" t="s">
        <v>15</v>
      </c>
      <c r="P684">
        <v>1</v>
      </c>
      <c r="Q684" t="s">
        <v>90</v>
      </c>
      <c r="R684" t="s">
        <v>6</v>
      </c>
    </row>
    <row r="685" spans="1:18">
      <c r="A685">
        <v>1894</v>
      </c>
      <c r="B685" t="s">
        <v>107</v>
      </c>
      <c r="C685">
        <v>4</v>
      </c>
      <c r="D685">
        <v>9</v>
      </c>
      <c r="E685" t="s">
        <v>89</v>
      </c>
      <c r="F685" t="s">
        <v>90</v>
      </c>
      <c r="G685" t="s">
        <v>15</v>
      </c>
      <c r="H685" t="s">
        <v>91</v>
      </c>
      <c r="I685">
        <v>20</v>
      </c>
      <c r="J685">
        <v>0</v>
      </c>
      <c r="K685">
        <v>8</v>
      </c>
      <c r="L685" t="s">
        <v>116</v>
      </c>
      <c r="M685">
        <v>21</v>
      </c>
      <c r="N685">
        <v>1</v>
      </c>
      <c r="O685" t="s">
        <v>15</v>
      </c>
      <c r="P685">
        <v>1</v>
      </c>
      <c r="Q685" t="s">
        <v>90</v>
      </c>
      <c r="R685" t="s">
        <v>6</v>
      </c>
    </row>
    <row r="686" spans="1:18">
      <c r="A686">
        <v>1895</v>
      </c>
      <c r="B686" t="s">
        <v>107</v>
      </c>
      <c r="C686">
        <v>5</v>
      </c>
      <c r="D686">
        <v>9</v>
      </c>
      <c r="E686" t="s">
        <v>89</v>
      </c>
      <c r="F686" t="s">
        <v>90</v>
      </c>
      <c r="G686" t="s">
        <v>15</v>
      </c>
      <c r="H686" t="s">
        <v>91</v>
      </c>
      <c r="I686">
        <v>20</v>
      </c>
      <c r="J686">
        <v>0</v>
      </c>
      <c r="K686">
        <v>8</v>
      </c>
      <c r="L686" t="s">
        <v>116</v>
      </c>
      <c r="M686">
        <v>21</v>
      </c>
      <c r="N686">
        <v>1</v>
      </c>
      <c r="O686" t="s">
        <v>15</v>
      </c>
      <c r="P686">
        <v>1</v>
      </c>
      <c r="Q686" t="s">
        <v>90</v>
      </c>
      <c r="R686" t="s">
        <v>6</v>
      </c>
    </row>
    <row r="687" spans="1:18">
      <c r="A687">
        <v>1896</v>
      </c>
      <c r="B687" t="s">
        <v>107</v>
      </c>
      <c r="C687">
        <v>6</v>
      </c>
      <c r="D687">
        <v>10</v>
      </c>
      <c r="E687" t="s">
        <v>94</v>
      </c>
      <c r="F687" t="s">
        <v>90</v>
      </c>
      <c r="G687" t="s">
        <v>15</v>
      </c>
      <c r="H687" t="s">
        <v>91</v>
      </c>
      <c r="I687">
        <v>20</v>
      </c>
      <c r="J687">
        <v>0</v>
      </c>
      <c r="K687">
        <v>8</v>
      </c>
      <c r="L687" t="s">
        <v>116</v>
      </c>
      <c r="M687">
        <v>21</v>
      </c>
      <c r="N687">
        <v>1</v>
      </c>
      <c r="O687" t="s">
        <v>15</v>
      </c>
      <c r="P687">
        <v>1</v>
      </c>
      <c r="Q687" t="s">
        <v>90</v>
      </c>
      <c r="R687" t="s">
        <v>6</v>
      </c>
    </row>
    <row r="688" spans="1:18">
      <c r="A688">
        <v>1897</v>
      </c>
      <c r="B688" t="s">
        <v>107</v>
      </c>
      <c r="C688">
        <v>7</v>
      </c>
      <c r="D688">
        <v>10</v>
      </c>
      <c r="E688" t="s">
        <v>94</v>
      </c>
      <c r="F688" t="s">
        <v>90</v>
      </c>
      <c r="G688" t="s">
        <v>15</v>
      </c>
      <c r="H688" t="s">
        <v>91</v>
      </c>
      <c r="I688">
        <v>20</v>
      </c>
      <c r="J688">
        <v>0</v>
      </c>
      <c r="K688">
        <v>8</v>
      </c>
      <c r="L688" t="s">
        <v>116</v>
      </c>
      <c r="M688">
        <v>21</v>
      </c>
      <c r="N688">
        <v>1</v>
      </c>
      <c r="O688" t="s">
        <v>15</v>
      </c>
      <c r="P688">
        <v>1</v>
      </c>
      <c r="Q688" t="s">
        <v>90</v>
      </c>
      <c r="R688" t="s">
        <v>6</v>
      </c>
    </row>
    <row r="689" spans="1:18">
      <c r="A689">
        <v>1898</v>
      </c>
      <c r="B689" t="s">
        <v>107</v>
      </c>
      <c r="C689">
        <v>8</v>
      </c>
      <c r="D689">
        <v>10</v>
      </c>
      <c r="E689" t="s">
        <v>94</v>
      </c>
      <c r="F689" t="s">
        <v>90</v>
      </c>
      <c r="G689" t="s">
        <v>15</v>
      </c>
      <c r="H689" t="s">
        <v>91</v>
      </c>
      <c r="I689">
        <v>20</v>
      </c>
      <c r="J689">
        <v>0</v>
      </c>
      <c r="K689">
        <v>8</v>
      </c>
      <c r="L689" t="s">
        <v>116</v>
      </c>
      <c r="M689">
        <v>21</v>
      </c>
      <c r="N689">
        <v>1</v>
      </c>
      <c r="O689" t="s">
        <v>15</v>
      </c>
      <c r="P689">
        <v>1</v>
      </c>
      <c r="Q689" t="s">
        <v>90</v>
      </c>
      <c r="R689" t="s">
        <v>6</v>
      </c>
    </row>
    <row r="690" spans="1:18">
      <c r="A690">
        <v>1899</v>
      </c>
      <c r="B690" t="s">
        <v>107</v>
      </c>
      <c r="C690">
        <v>9</v>
      </c>
      <c r="D690">
        <v>10</v>
      </c>
      <c r="E690" t="s">
        <v>94</v>
      </c>
      <c r="F690" t="s">
        <v>90</v>
      </c>
      <c r="G690" t="s">
        <v>15</v>
      </c>
      <c r="H690" t="s">
        <v>91</v>
      </c>
      <c r="I690">
        <v>20</v>
      </c>
      <c r="J690">
        <v>0</v>
      </c>
      <c r="K690">
        <v>8</v>
      </c>
      <c r="L690" t="s">
        <v>116</v>
      </c>
      <c r="M690">
        <v>21</v>
      </c>
      <c r="N690">
        <v>1</v>
      </c>
      <c r="O690" t="s">
        <v>15</v>
      </c>
      <c r="P690">
        <v>1</v>
      </c>
      <c r="Q690" t="s">
        <v>90</v>
      </c>
      <c r="R690" t="s">
        <v>6</v>
      </c>
    </row>
    <row r="691" spans="1:18">
      <c r="A691">
        <v>1900</v>
      </c>
      <c r="B691" t="s">
        <v>107</v>
      </c>
      <c r="C691">
        <v>10</v>
      </c>
      <c r="D691">
        <v>9</v>
      </c>
      <c r="E691" t="s">
        <v>89</v>
      </c>
      <c r="F691" t="s">
        <v>90</v>
      </c>
      <c r="G691" t="s">
        <v>15</v>
      </c>
      <c r="H691" t="s">
        <v>91</v>
      </c>
      <c r="I691">
        <v>20</v>
      </c>
      <c r="J691">
        <v>0</v>
      </c>
      <c r="K691">
        <v>8</v>
      </c>
      <c r="L691" t="s">
        <v>116</v>
      </c>
      <c r="M691">
        <v>21</v>
      </c>
      <c r="N691">
        <v>1</v>
      </c>
      <c r="O691" t="s">
        <v>15</v>
      </c>
      <c r="P691">
        <v>1</v>
      </c>
      <c r="Q691" t="s">
        <v>90</v>
      </c>
      <c r="R691" t="s">
        <v>6</v>
      </c>
    </row>
    <row r="692" spans="1:18">
      <c r="A692">
        <v>1901</v>
      </c>
      <c r="B692" t="s">
        <v>107</v>
      </c>
      <c r="C692">
        <v>11</v>
      </c>
      <c r="D692">
        <v>11</v>
      </c>
      <c r="E692" t="s">
        <v>95</v>
      </c>
      <c r="F692" t="s">
        <v>90</v>
      </c>
      <c r="G692" t="s">
        <v>15</v>
      </c>
      <c r="H692" t="s">
        <v>91</v>
      </c>
      <c r="I692">
        <v>20</v>
      </c>
      <c r="J692">
        <v>0</v>
      </c>
      <c r="K692">
        <v>8</v>
      </c>
      <c r="L692" t="s">
        <v>116</v>
      </c>
      <c r="M692">
        <v>21</v>
      </c>
      <c r="N692">
        <v>1</v>
      </c>
      <c r="O692" t="s">
        <v>15</v>
      </c>
      <c r="P692">
        <v>1</v>
      </c>
      <c r="Q692" t="s">
        <v>90</v>
      </c>
      <c r="R692" t="s">
        <v>6</v>
      </c>
    </row>
    <row r="693" spans="1:18">
      <c r="A693">
        <v>1902</v>
      </c>
      <c r="B693" t="s">
        <v>107</v>
      </c>
      <c r="C693">
        <v>12</v>
      </c>
      <c r="D693">
        <v>11</v>
      </c>
      <c r="E693" t="s">
        <v>95</v>
      </c>
      <c r="F693" t="s">
        <v>90</v>
      </c>
      <c r="G693" t="s">
        <v>15</v>
      </c>
      <c r="H693" t="s">
        <v>91</v>
      </c>
      <c r="I693">
        <v>20</v>
      </c>
      <c r="J693">
        <v>0</v>
      </c>
      <c r="K693">
        <v>8</v>
      </c>
      <c r="L693" t="s">
        <v>116</v>
      </c>
      <c r="M693">
        <v>21</v>
      </c>
      <c r="N693">
        <v>1</v>
      </c>
      <c r="O693" t="s">
        <v>15</v>
      </c>
      <c r="P693">
        <v>1</v>
      </c>
      <c r="Q693" t="s">
        <v>90</v>
      </c>
      <c r="R693" t="s">
        <v>6</v>
      </c>
    </row>
    <row r="694" spans="1:18">
      <c r="A694">
        <v>1903</v>
      </c>
      <c r="B694" t="s">
        <v>107</v>
      </c>
      <c r="C694">
        <v>13</v>
      </c>
      <c r="D694">
        <v>11</v>
      </c>
      <c r="E694" t="s">
        <v>95</v>
      </c>
      <c r="F694" t="s">
        <v>90</v>
      </c>
      <c r="G694" t="s">
        <v>15</v>
      </c>
      <c r="H694" t="s">
        <v>91</v>
      </c>
      <c r="I694">
        <v>20</v>
      </c>
      <c r="J694">
        <v>0</v>
      </c>
      <c r="K694">
        <v>8</v>
      </c>
      <c r="L694" t="s">
        <v>116</v>
      </c>
      <c r="M694">
        <v>21</v>
      </c>
      <c r="N694">
        <v>1</v>
      </c>
      <c r="O694" t="s">
        <v>15</v>
      </c>
      <c r="P694">
        <v>1</v>
      </c>
      <c r="Q694" t="s">
        <v>90</v>
      </c>
      <c r="R694" t="s">
        <v>6</v>
      </c>
    </row>
    <row r="695" spans="1:18">
      <c r="A695">
        <v>1904</v>
      </c>
      <c r="B695" t="s">
        <v>107</v>
      </c>
      <c r="C695">
        <v>14</v>
      </c>
      <c r="D695">
        <v>11</v>
      </c>
      <c r="E695" t="s">
        <v>95</v>
      </c>
      <c r="F695" t="s">
        <v>90</v>
      </c>
      <c r="G695" t="s">
        <v>15</v>
      </c>
      <c r="H695" t="s">
        <v>91</v>
      </c>
      <c r="I695">
        <v>20</v>
      </c>
      <c r="J695">
        <v>0</v>
      </c>
      <c r="K695">
        <v>8</v>
      </c>
      <c r="L695" t="s">
        <v>116</v>
      </c>
      <c r="M695">
        <v>21</v>
      </c>
      <c r="N695">
        <v>1</v>
      </c>
      <c r="O695" t="s">
        <v>15</v>
      </c>
      <c r="P695">
        <v>1</v>
      </c>
      <c r="Q695" t="s">
        <v>90</v>
      </c>
      <c r="R695" t="s">
        <v>6</v>
      </c>
    </row>
    <row r="696" spans="1:18">
      <c r="A696">
        <v>1905</v>
      </c>
      <c r="B696" t="s">
        <v>107</v>
      </c>
      <c r="C696">
        <v>15</v>
      </c>
      <c r="D696">
        <v>11</v>
      </c>
      <c r="E696" t="s">
        <v>95</v>
      </c>
      <c r="F696" t="s">
        <v>90</v>
      </c>
      <c r="G696" t="s">
        <v>15</v>
      </c>
      <c r="H696" t="s">
        <v>91</v>
      </c>
      <c r="I696">
        <v>20</v>
      </c>
      <c r="J696">
        <v>0</v>
      </c>
      <c r="K696">
        <v>8</v>
      </c>
      <c r="L696" t="s">
        <v>116</v>
      </c>
      <c r="M696">
        <v>21</v>
      </c>
      <c r="N696">
        <v>1</v>
      </c>
      <c r="O696" t="s">
        <v>15</v>
      </c>
      <c r="P696">
        <v>1</v>
      </c>
      <c r="Q696" t="s">
        <v>90</v>
      </c>
      <c r="R696" t="s">
        <v>6</v>
      </c>
    </row>
    <row r="697" spans="1:18">
      <c r="A697">
        <v>1906</v>
      </c>
      <c r="B697" t="s">
        <v>107</v>
      </c>
      <c r="C697">
        <v>16</v>
      </c>
      <c r="D697">
        <v>11</v>
      </c>
      <c r="E697" t="s">
        <v>95</v>
      </c>
      <c r="F697" t="s">
        <v>90</v>
      </c>
      <c r="G697" t="s">
        <v>15</v>
      </c>
      <c r="H697" t="s">
        <v>91</v>
      </c>
      <c r="I697">
        <v>20</v>
      </c>
      <c r="J697">
        <v>0</v>
      </c>
      <c r="K697">
        <v>8</v>
      </c>
      <c r="L697" t="s">
        <v>116</v>
      </c>
      <c r="M697">
        <v>21</v>
      </c>
      <c r="N697">
        <v>1</v>
      </c>
      <c r="O697" t="s">
        <v>15</v>
      </c>
      <c r="P697">
        <v>1</v>
      </c>
      <c r="Q697" t="s">
        <v>90</v>
      </c>
      <c r="R697" t="s">
        <v>6</v>
      </c>
    </row>
    <row r="698" spans="1:18">
      <c r="A698">
        <v>1907</v>
      </c>
      <c r="B698" t="s">
        <v>107</v>
      </c>
      <c r="C698">
        <v>17</v>
      </c>
      <c r="D698">
        <v>11</v>
      </c>
      <c r="E698" t="s">
        <v>95</v>
      </c>
      <c r="F698" t="s">
        <v>90</v>
      </c>
      <c r="G698" t="s">
        <v>15</v>
      </c>
      <c r="H698" t="s">
        <v>91</v>
      </c>
      <c r="I698">
        <v>20</v>
      </c>
      <c r="J698">
        <v>0</v>
      </c>
      <c r="K698">
        <v>8</v>
      </c>
      <c r="L698" t="s">
        <v>116</v>
      </c>
      <c r="M698">
        <v>21</v>
      </c>
      <c r="N698">
        <v>1</v>
      </c>
      <c r="O698" t="s">
        <v>15</v>
      </c>
      <c r="P698">
        <v>1</v>
      </c>
      <c r="Q698" t="s">
        <v>90</v>
      </c>
      <c r="R698" t="s">
        <v>6</v>
      </c>
    </row>
    <row r="699" spans="1:18">
      <c r="A699">
        <v>1908</v>
      </c>
      <c r="B699" t="s">
        <v>107</v>
      </c>
      <c r="C699">
        <v>18</v>
      </c>
      <c r="D699">
        <v>11</v>
      </c>
      <c r="E699" t="s">
        <v>95</v>
      </c>
      <c r="F699" t="s">
        <v>90</v>
      </c>
      <c r="G699" t="s">
        <v>15</v>
      </c>
      <c r="H699" t="s">
        <v>91</v>
      </c>
      <c r="I699">
        <v>20</v>
      </c>
      <c r="J699">
        <v>0</v>
      </c>
      <c r="K699">
        <v>8</v>
      </c>
      <c r="L699" t="s">
        <v>116</v>
      </c>
      <c r="M699">
        <v>21</v>
      </c>
      <c r="N699">
        <v>1</v>
      </c>
      <c r="O699" t="s">
        <v>15</v>
      </c>
      <c r="P699">
        <v>1</v>
      </c>
      <c r="Q699" t="s">
        <v>90</v>
      </c>
      <c r="R699" t="s">
        <v>6</v>
      </c>
    </row>
    <row r="700" spans="1:18">
      <c r="A700">
        <v>1909</v>
      </c>
      <c r="B700" t="s">
        <v>107</v>
      </c>
      <c r="C700">
        <v>19</v>
      </c>
      <c r="D700">
        <v>11</v>
      </c>
      <c r="E700" t="s">
        <v>95</v>
      </c>
      <c r="F700" t="s">
        <v>90</v>
      </c>
      <c r="G700" t="s">
        <v>15</v>
      </c>
      <c r="H700" t="s">
        <v>91</v>
      </c>
      <c r="I700">
        <v>20</v>
      </c>
      <c r="J700">
        <v>0</v>
      </c>
      <c r="K700">
        <v>8</v>
      </c>
      <c r="L700" t="s">
        <v>116</v>
      </c>
      <c r="M700">
        <v>21</v>
      </c>
      <c r="N700">
        <v>1</v>
      </c>
      <c r="O700" t="s">
        <v>15</v>
      </c>
      <c r="P700">
        <v>1</v>
      </c>
      <c r="Q700" t="s">
        <v>90</v>
      </c>
      <c r="R700" t="s">
        <v>6</v>
      </c>
    </row>
    <row r="701" spans="1:18">
      <c r="A701">
        <v>1910</v>
      </c>
      <c r="B701" t="s">
        <v>107</v>
      </c>
      <c r="C701">
        <v>20</v>
      </c>
      <c r="D701">
        <v>11</v>
      </c>
      <c r="E701" t="s">
        <v>95</v>
      </c>
      <c r="F701" t="s">
        <v>90</v>
      </c>
      <c r="G701" t="s">
        <v>15</v>
      </c>
      <c r="H701" t="s">
        <v>91</v>
      </c>
      <c r="I701">
        <v>20</v>
      </c>
      <c r="J701">
        <v>0</v>
      </c>
      <c r="K701">
        <v>8</v>
      </c>
      <c r="L701" t="s">
        <v>116</v>
      </c>
      <c r="M701">
        <v>21</v>
      </c>
      <c r="N701">
        <v>1</v>
      </c>
      <c r="O701" t="s">
        <v>15</v>
      </c>
      <c r="P701">
        <v>1</v>
      </c>
      <c r="Q701" t="s">
        <v>90</v>
      </c>
      <c r="R701" t="s">
        <v>6</v>
      </c>
    </row>
    <row r="702" spans="1:18">
      <c r="A702">
        <v>1911</v>
      </c>
      <c r="B702" t="s">
        <v>107</v>
      </c>
      <c r="C702">
        <v>21</v>
      </c>
      <c r="D702">
        <v>9</v>
      </c>
      <c r="E702" t="s">
        <v>89</v>
      </c>
      <c r="F702" t="s">
        <v>90</v>
      </c>
      <c r="G702" t="s">
        <v>15</v>
      </c>
      <c r="H702" t="s">
        <v>91</v>
      </c>
      <c r="I702">
        <v>20</v>
      </c>
      <c r="J702">
        <v>0</v>
      </c>
      <c r="K702">
        <v>8</v>
      </c>
      <c r="L702" t="s">
        <v>116</v>
      </c>
      <c r="M702">
        <v>21</v>
      </c>
      <c r="N702">
        <v>1</v>
      </c>
      <c r="O702" t="s">
        <v>15</v>
      </c>
      <c r="P702">
        <v>1</v>
      </c>
      <c r="Q702" t="s">
        <v>90</v>
      </c>
      <c r="R702" t="s">
        <v>6</v>
      </c>
    </row>
    <row r="703" spans="1:18">
      <c r="A703">
        <v>1912</v>
      </c>
      <c r="B703" t="s">
        <v>107</v>
      </c>
      <c r="C703">
        <v>22</v>
      </c>
      <c r="D703">
        <v>10</v>
      </c>
      <c r="E703" t="s">
        <v>94</v>
      </c>
      <c r="F703" t="s">
        <v>90</v>
      </c>
      <c r="G703" t="s">
        <v>15</v>
      </c>
      <c r="H703" t="s">
        <v>91</v>
      </c>
      <c r="I703">
        <v>20</v>
      </c>
      <c r="J703">
        <v>0</v>
      </c>
      <c r="K703">
        <v>8</v>
      </c>
      <c r="L703" t="s">
        <v>116</v>
      </c>
      <c r="M703">
        <v>21</v>
      </c>
      <c r="N703">
        <v>1</v>
      </c>
      <c r="O703" t="s">
        <v>15</v>
      </c>
      <c r="P703">
        <v>1</v>
      </c>
      <c r="Q703" t="s">
        <v>90</v>
      </c>
      <c r="R703" t="s">
        <v>6</v>
      </c>
    </row>
    <row r="704" spans="1:18">
      <c r="A704">
        <v>1913</v>
      </c>
      <c r="B704" t="s">
        <v>107</v>
      </c>
      <c r="C704">
        <v>23</v>
      </c>
      <c r="D704">
        <v>9</v>
      </c>
      <c r="E704" t="s">
        <v>89</v>
      </c>
      <c r="F704" t="s">
        <v>90</v>
      </c>
      <c r="G704" t="s">
        <v>15</v>
      </c>
      <c r="H704" t="s">
        <v>91</v>
      </c>
      <c r="I704">
        <v>20</v>
      </c>
      <c r="J704">
        <v>0</v>
      </c>
      <c r="K704">
        <v>8</v>
      </c>
      <c r="L704" t="s">
        <v>116</v>
      </c>
      <c r="M704">
        <v>21</v>
      </c>
      <c r="N704">
        <v>1</v>
      </c>
      <c r="O704" t="s">
        <v>15</v>
      </c>
      <c r="P704">
        <v>1</v>
      </c>
      <c r="Q704" t="s">
        <v>90</v>
      </c>
      <c r="R704" t="s">
        <v>6</v>
      </c>
    </row>
    <row r="705" spans="1:18">
      <c r="A705">
        <v>1914</v>
      </c>
      <c r="B705" t="s">
        <v>107</v>
      </c>
      <c r="C705">
        <v>24</v>
      </c>
      <c r="D705">
        <v>10</v>
      </c>
      <c r="E705" t="s">
        <v>94</v>
      </c>
      <c r="F705" t="s">
        <v>90</v>
      </c>
      <c r="G705" t="s">
        <v>15</v>
      </c>
      <c r="H705" t="s">
        <v>91</v>
      </c>
      <c r="I705">
        <v>20</v>
      </c>
      <c r="J705">
        <v>0</v>
      </c>
      <c r="K705">
        <v>8</v>
      </c>
      <c r="L705" t="s">
        <v>116</v>
      </c>
      <c r="M705">
        <v>21</v>
      </c>
      <c r="N705">
        <v>1</v>
      </c>
      <c r="O705" t="s">
        <v>15</v>
      </c>
      <c r="P705">
        <v>1</v>
      </c>
      <c r="Q705" t="s">
        <v>90</v>
      </c>
      <c r="R705" t="s">
        <v>6</v>
      </c>
    </row>
    <row r="706" spans="1:18">
      <c r="A706">
        <v>1915</v>
      </c>
      <c r="B706" t="s">
        <v>107</v>
      </c>
      <c r="C706">
        <v>25</v>
      </c>
      <c r="D706">
        <v>9</v>
      </c>
      <c r="E706" t="s">
        <v>89</v>
      </c>
      <c r="F706" t="s">
        <v>90</v>
      </c>
      <c r="G706" t="s">
        <v>15</v>
      </c>
      <c r="H706" t="s">
        <v>91</v>
      </c>
      <c r="I706">
        <v>20</v>
      </c>
      <c r="J706">
        <v>0</v>
      </c>
      <c r="K706">
        <v>8</v>
      </c>
      <c r="L706" t="s">
        <v>116</v>
      </c>
      <c r="M706">
        <v>21</v>
      </c>
      <c r="N706">
        <v>1</v>
      </c>
      <c r="O706" t="s">
        <v>15</v>
      </c>
      <c r="P706">
        <v>1</v>
      </c>
      <c r="Q706" t="s">
        <v>90</v>
      </c>
      <c r="R706" t="s">
        <v>6</v>
      </c>
    </row>
    <row r="707" spans="1:18">
      <c r="A707">
        <v>1916</v>
      </c>
      <c r="B707" t="s">
        <v>107</v>
      </c>
      <c r="C707">
        <v>26</v>
      </c>
      <c r="D707">
        <v>10</v>
      </c>
      <c r="E707" t="s">
        <v>94</v>
      </c>
      <c r="F707" t="s">
        <v>90</v>
      </c>
      <c r="G707" t="s">
        <v>15</v>
      </c>
      <c r="H707" t="s">
        <v>91</v>
      </c>
      <c r="I707">
        <v>20</v>
      </c>
      <c r="J707">
        <v>0</v>
      </c>
      <c r="K707">
        <v>8</v>
      </c>
      <c r="L707" t="s">
        <v>116</v>
      </c>
      <c r="M707">
        <v>21</v>
      </c>
      <c r="N707">
        <v>1</v>
      </c>
      <c r="O707" t="s">
        <v>15</v>
      </c>
      <c r="P707">
        <v>1</v>
      </c>
      <c r="Q707" t="s">
        <v>90</v>
      </c>
      <c r="R707" t="s">
        <v>6</v>
      </c>
    </row>
    <row r="708" spans="1:18">
      <c r="A708">
        <v>1917</v>
      </c>
      <c r="B708" t="s">
        <v>107</v>
      </c>
      <c r="C708">
        <v>27</v>
      </c>
      <c r="D708">
        <v>9</v>
      </c>
      <c r="E708" t="s">
        <v>89</v>
      </c>
      <c r="F708" t="s">
        <v>90</v>
      </c>
      <c r="G708" t="s">
        <v>15</v>
      </c>
      <c r="H708" t="s">
        <v>91</v>
      </c>
      <c r="I708">
        <v>20</v>
      </c>
      <c r="J708">
        <v>0</v>
      </c>
      <c r="K708">
        <v>8</v>
      </c>
      <c r="L708" t="s">
        <v>116</v>
      </c>
      <c r="M708">
        <v>21</v>
      </c>
      <c r="N708">
        <v>1</v>
      </c>
      <c r="O708" t="s">
        <v>15</v>
      </c>
      <c r="P708">
        <v>1</v>
      </c>
      <c r="Q708" t="s">
        <v>90</v>
      </c>
      <c r="R708" t="s">
        <v>6</v>
      </c>
    </row>
    <row r="709" spans="1:18">
      <c r="A709">
        <v>1918</v>
      </c>
      <c r="B709" t="s">
        <v>107</v>
      </c>
      <c r="C709">
        <v>28</v>
      </c>
      <c r="D709">
        <v>10</v>
      </c>
      <c r="E709" t="s">
        <v>94</v>
      </c>
      <c r="F709" t="s">
        <v>90</v>
      </c>
      <c r="G709" t="s">
        <v>15</v>
      </c>
      <c r="H709" t="s">
        <v>91</v>
      </c>
      <c r="I709">
        <v>20</v>
      </c>
      <c r="J709">
        <v>0</v>
      </c>
      <c r="K709">
        <v>8</v>
      </c>
      <c r="L709" t="s">
        <v>116</v>
      </c>
      <c r="M709">
        <v>21</v>
      </c>
      <c r="N709">
        <v>1</v>
      </c>
      <c r="O709" t="s">
        <v>15</v>
      </c>
      <c r="P709">
        <v>1</v>
      </c>
      <c r="Q709" t="s">
        <v>90</v>
      </c>
      <c r="R709" t="s">
        <v>6</v>
      </c>
    </row>
    <row r="710" spans="1:18">
      <c r="A710">
        <v>1919</v>
      </c>
      <c r="B710" t="s">
        <v>107</v>
      </c>
      <c r="C710">
        <v>29</v>
      </c>
      <c r="D710">
        <v>9</v>
      </c>
      <c r="E710" t="s">
        <v>89</v>
      </c>
      <c r="F710" t="s">
        <v>90</v>
      </c>
      <c r="G710" t="s">
        <v>15</v>
      </c>
      <c r="H710" t="s">
        <v>91</v>
      </c>
      <c r="I710">
        <v>20</v>
      </c>
      <c r="J710">
        <v>0</v>
      </c>
      <c r="K710">
        <v>8</v>
      </c>
      <c r="L710" t="s">
        <v>116</v>
      </c>
      <c r="M710">
        <v>21</v>
      </c>
      <c r="N710">
        <v>1</v>
      </c>
      <c r="O710" t="s">
        <v>15</v>
      </c>
      <c r="P710">
        <v>1</v>
      </c>
      <c r="Q710" t="s">
        <v>90</v>
      </c>
      <c r="R710" t="s">
        <v>6</v>
      </c>
    </row>
    <row r="711" spans="1:18">
      <c r="A711">
        <v>1920</v>
      </c>
      <c r="B711" t="s">
        <v>107</v>
      </c>
      <c r="C711">
        <v>30</v>
      </c>
      <c r="D711">
        <v>10</v>
      </c>
      <c r="E711" t="s">
        <v>94</v>
      </c>
      <c r="F711" t="s">
        <v>90</v>
      </c>
      <c r="G711" t="s">
        <v>15</v>
      </c>
      <c r="H711" t="s">
        <v>91</v>
      </c>
      <c r="I711">
        <v>20</v>
      </c>
      <c r="J711">
        <v>0</v>
      </c>
      <c r="K711">
        <v>8</v>
      </c>
      <c r="L711" t="s">
        <v>116</v>
      </c>
      <c r="M711">
        <v>21</v>
      </c>
      <c r="N711">
        <v>1</v>
      </c>
      <c r="O711" t="s">
        <v>15</v>
      </c>
      <c r="P711">
        <v>1</v>
      </c>
      <c r="Q711" t="s">
        <v>90</v>
      </c>
      <c r="R711" t="s">
        <v>6</v>
      </c>
    </row>
    <row r="712" spans="1:18">
      <c r="A712">
        <v>1921</v>
      </c>
      <c r="B712" t="s">
        <v>107</v>
      </c>
      <c r="C712">
        <v>31</v>
      </c>
      <c r="D712">
        <v>12</v>
      </c>
      <c r="E712" t="s">
        <v>96</v>
      </c>
      <c r="F712" t="s">
        <v>90</v>
      </c>
      <c r="G712" t="s">
        <v>15</v>
      </c>
      <c r="H712" t="s">
        <v>91</v>
      </c>
      <c r="I712">
        <v>20</v>
      </c>
      <c r="J712">
        <v>0</v>
      </c>
      <c r="K712">
        <v>8</v>
      </c>
      <c r="L712" t="s">
        <v>116</v>
      </c>
      <c r="M712">
        <v>21</v>
      </c>
      <c r="N712">
        <v>1</v>
      </c>
      <c r="O712" t="s">
        <v>15</v>
      </c>
      <c r="P712">
        <v>1</v>
      </c>
      <c r="Q712" t="s">
        <v>90</v>
      </c>
      <c r="R712" t="s">
        <v>6</v>
      </c>
    </row>
    <row r="713" spans="1:18">
      <c r="A713">
        <v>1922</v>
      </c>
      <c r="B713" t="s">
        <v>107</v>
      </c>
      <c r="C713">
        <v>32</v>
      </c>
      <c r="D713">
        <v>12</v>
      </c>
      <c r="E713" t="s">
        <v>96</v>
      </c>
      <c r="F713" t="s">
        <v>90</v>
      </c>
      <c r="G713" t="s">
        <v>15</v>
      </c>
      <c r="H713" t="s">
        <v>91</v>
      </c>
      <c r="I713">
        <v>20</v>
      </c>
      <c r="J713">
        <v>0</v>
      </c>
      <c r="K713">
        <v>8</v>
      </c>
      <c r="L713" t="s">
        <v>116</v>
      </c>
      <c r="M713">
        <v>21</v>
      </c>
      <c r="N713">
        <v>1</v>
      </c>
      <c r="O713" t="s">
        <v>15</v>
      </c>
      <c r="P713">
        <v>1</v>
      </c>
      <c r="Q713" t="s">
        <v>90</v>
      </c>
      <c r="R713" t="s">
        <v>6</v>
      </c>
    </row>
    <row r="714" spans="1:18">
      <c r="A714">
        <v>1923</v>
      </c>
      <c r="B714" t="s">
        <v>107</v>
      </c>
      <c r="C714">
        <v>33</v>
      </c>
      <c r="D714">
        <v>12</v>
      </c>
      <c r="E714" t="s">
        <v>96</v>
      </c>
      <c r="F714" t="s">
        <v>90</v>
      </c>
      <c r="G714" t="s">
        <v>15</v>
      </c>
      <c r="H714" t="s">
        <v>91</v>
      </c>
      <c r="I714">
        <v>20</v>
      </c>
      <c r="J714">
        <v>0</v>
      </c>
      <c r="K714">
        <v>8</v>
      </c>
      <c r="L714" t="s">
        <v>116</v>
      </c>
      <c r="M714">
        <v>21</v>
      </c>
      <c r="N714">
        <v>1</v>
      </c>
      <c r="O714" t="s">
        <v>15</v>
      </c>
      <c r="P714">
        <v>1</v>
      </c>
      <c r="Q714" t="s">
        <v>90</v>
      </c>
      <c r="R714" t="s">
        <v>6</v>
      </c>
    </row>
    <row r="715" spans="1:18">
      <c r="A715">
        <v>1924</v>
      </c>
      <c r="B715" t="s">
        <v>107</v>
      </c>
      <c r="C715">
        <v>34</v>
      </c>
      <c r="D715">
        <v>12</v>
      </c>
      <c r="E715" t="s">
        <v>96</v>
      </c>
      <c r="F715" t="s">
        <v>90</v>
      </c>
      <c r="G715" t="s">
        <v>15</v>
      </c>
      <c r="H715" t="s">
        <v>91</v>
      </c>
      <c r="I715">
        <v>20</v>
      </c>
      <c r="J715">
        <v>0</v>
      </c>
      <c r="K715">
        <v>8</v>
      </c>
      <c r="L715" t="s">
        <v>116</v>
      </c>
      <c r="M715">
        <v>21</v>
      </c>
      <c r="N715">
        <v>1</v>
      </c>
      <c r="O715" t="s">
        <v>15</v>
      </c>
      <c r="P715">
        <v>1</v>
      </c>
      <c r="Q715" t="s">
        <v>90</v>
      </c>
      <c r="R715" t="s">
        <v>6</v>
      </c>
    </row>
    <row r="716" spans="1:18">
      <c r="A716">
        <v>1925</v>
      </c>
      <c r="B716" t="s">
        <v>107</v>
      </c>
      <c r="C716">
        <v>35</v>
      </c>
      <c r="D716">
        <v>12</v>
      </c>
      <c r="E716" t="s">
        <v>96</v>
      </c>
      <c r="F716" t="s">
        <v>90</v>
      </c>
      <c r="G716" t="s">
        <v>15</v>
      </c>
      <c r="H716" t="s">
        <v>91</v>
      </c>
      <c r="I716">
        <v>20</v>
      </c>
      <c r="J716">
        <v>0</v>
      </c>
      <c r="K716">
        <v>8</v>
      </c>
      <c r="L716" t="s">
        <v>116</v>
      </c>
      <c r="M716">
        <v>21</v>
      </c>
      <c r="N716">
        <v>1</v>
      </c>
      <c r="O716" t="s">
        <v>15</v>
      </c>
      <c r="P716">
        <v>1</v>
      </c>
      <c r="Q716" t="s">
        <v>90</v>
      </c>
      <c r="R716" t="s">
        <v>6</v>
      </c>
    </row>
    <row r="717" spans="1:18">
      <c r="A717">
        <v>1926</v>
      </c>
      <c r="B717" t="s">
        <v>107</v>
      </c>
      <c r="C717">
        <v>36</v>
      </c>
      <c r="D717">
        <v>12</v>
      </c>
      <c r="E717" t="s">
        <v>96</v>
      </c>
      <c r="F717" t="s">
        <v>90</v>
      </c>
      <c r="G717" t="s">
        <v>15</v>
      </c>
      <c r="H717" t="s">
        <v>91</v>
      </c>
      <c r="I717">
        <v>20</v>
      </c>
      <c r="J717">
        <v>0</v>
      </c>
      <c r="K717">
        <v>8</v>
      </c>
      <c r="L717" t="s">
        <v>116</v>
      </c>
      <c r="M717">
        <v>21</v>
      </c>
      <c r="N717">
        <v>1</v>
      </c>
      <c r="O717" t="s">
        <v>15</v>
      </c>
      <c r="P717">
        <v>1</v>
      </c>
      <c r="Q717" t="s">
        <v>90</v>
      </c>
      <c r="R717" t="s">
        <v>6</v>
      </c>
    </row>
    <row r="718" spans="1:18">
      <c r="A718">
        <v>1927</v>
      </c>
      <c r="B718" t="s">
        <v>107</v>
      </c>
      <c r="C718">
        <v>37</v>
      </c>
      <c r="D718">
        <v>12</v>
      </c>
      <c r="E718" t="s">
        <v>96</v>
      </c>
      <c r="F718" t="s">
        <v>90</v>
      </c>
      <c r="G718" t="s">
        <v>15</v>
      </c>
      <c r="H718" t="s">
        <v>91</v>
      </c>
      <c r="I718">
        <v>20</v>
      </c>
      <c r="J718">
        <v>0</v>
      </c>
      <c r="K718">
        <v>8</v>
      </c>
      <c r="L718" t="s">
        <v>116</v>
      </c>
      <c r="M718">
        <v>21</v>
      </c>
      <c r="N718">
        <v>1</v>
      </c>
      <c r="O718" t="s">
        <v>15</v>
      </c>
      <c r="P718">
        <v>1</v>
      </c>
      <c r="Q718" t="s">
        <v>90</v>
      </c>
      <c r="R718" t="s">
        <v>6</v>
      </c>
    </row>
    <row r="719" spans="1:18">
      <c r="A719">
        <v>1928</v>
      </c>
      <c r="B719" t="s">
        <v>107</v>
      </c>
      <c r="C719">
        <v>38</v>
      </c>
      <c r="D719">
        <v>12</v>
      </c>
      <c r="E719" t="s">
        <v>96</v>
      </c>
      <c r="F719" t="s">
        <v>90</v>
      </c>
      <c r="G719" t="s">
        <v>15</v>
      </c>
      <c r="H719" t="s">
        <v>91</v>
      </c>
      <c r="I719">
        <v>20</v>
      </c>
      <c r="J719">
        <v>0</v>
      </c>
      <c r="K719">
        <v>8</v>
      </c>
      <c r="L719" t="s">
        <v>116</v>
      </c>
      <c r="M719">
        <v>21</v>
      </c>
      <c r="N719">
        <v>1</v>
      </c>
      <c r="O719" t="s">
        <v>15</v>
      </c>
      <c r="P719">
        <v>1</v>
      </c>
      <c r="Q719" t="s">
        <v>90</v>
      </c>
      <c r="R719" t="s">
        <v>6</v>
      </c>
    </row>
    <row r="720" spans="1:18">
      <c r="A720">
        <v>1929</v>
      </c>
      <c r="B720" t="s">
        <v>107</v>
      </c>
      <c r="C720">
        <v>39</v>
      </c>
      <c r="D720">
        <v>12</v>
      </c>
      <c r="E720" t="s">
        <v>96</v>
      </c>
      <c r="F720" t="s">
        <v>90</v>
      </c>
      <c r="G720" t="s">
        <v>15</v>
      </c>
      <c r="H720" t="s">
        <v>91</v>
      </c>
      <c r="I720">
        <v>20</v>
      </c>
      <c r="J720">
        <v>0</v>
      </c>
      <c r="K720">
        <v>8</v>
      </c>
      <c r="L720" t="s">
        <v>116</v>
      </c>
      <c r="M720">
        <v>21</v>
      </c>
      <c r="N720">
        <v>1</v>
      </c>
      <c r="O720" t="s">
        <v>15</v>
      </c>
      <c r="P720">
        <v>1</v>
      </c>
      <c r="Q720" t="s">
        <v>90</v>
      </c>
      <c r="R720" t="s">
        <v>6</v>
      </c>
    </row>
    <row r="721" spans="1:18">
      <c r="A721">
        <v>1930</v>
      </c>
      <c r="B721" t="s">
        <v>107</v>
      </c>
      <c r="C721">
        <v>40</v>
      </c>
      <c r="D721">
        <v>12</v>
      </c>
      <c r="E721" t="s">
        <v>96</v>
      </c>
      <c r="F721" t="s">
        <v>90</v>
      </c>
      <c r="G721" t="s">
        <v>15</v>
      </c>
      <c r="H721" t="s">
        <v>91</v>
      </c>
      <c r="I721">
        <v>20</v>
      </c>
      <c r="J721">
        <v>0</v>
      </c>
      <c r="K721">
        <v>8</v>
      </c>
      <c r="L721" t="s">
        <v>116</v>
      </c>
      <c r="M721">
        <v>21</v>
      </c>
      <c r="N721">
        <v>1</v>
      </c>
      <c r="O721" t="s">
        <v>15</v>
      </c>
      <c r="P721">
        <v>1</v>
      </c>
      <c r="Q721" t="s">
        <v>90</v>
      </c>
      <c r="R721" t="s">
        <v>6</v>
      </c>
    </row>
    <row r="722" spans="1:18">
      <c r="A722">
        <v>1931</v>
      </c>
      <c r="B722" t="s">
        <v>108</v>
      </c>
      <c r="C722">
        <v>1</v>
      </c>
      <c r="D722">
        <v>9</v>
      </c>
      <c r="E722" t="s">
        <v>89</v>
      </c>
      <c r="F722" t="s">
        <v>90</v>
      </c>
      <c r="G722" t="s">
        <v>15</v>
      </c>
      <c r="H722" t="s">
        <v>91</v>
      </c>
      <c r="I722">
        <v>20</v>
      </c>
      <c r="J722">
        <v>0</v>
      </c>
      <c r="K722">
        <v>8</v>
      </c>
      <c r="L722" t="s">
        <v>116</v>
      </c>
      <c r="M722">
        <v>22</v>
      </c>
      <c r="N722">
        <v>1</v>
      </c>
      <c r="O722" t="s">
        <v>15</v>
      </c>
      <c r="P722">
        <v>1</v>
      </c>
      <c r="Q722" t="s">
        <v>90</v>
      </c>
      <c r="R722" t="s">
        <v>109</v>
      </c>
    </row>
    <row r="723" spans="1:18">
      <c r="A723">
        <v>1932</v>
      </c>
      <c r="B723" t="s">
        <v>108</v>
      </c>
      <c r="C723">
        <v>2</v>
      </c>
      <c r="D723">
        <v>10</v>
      </c>
      <c r="E723" t="s">
        <v>94</v>
      </c>
      <c r="F723" t="s">
        <v>90</v>
      </c>
      <c r="G723" t="s">
        <v>15</v>
      </c>
      <c r="H723" t="s">
        <v>91</v>
      </c>
      <c r="I723">
        <v>20</v>
      </c>
      <c r="J723">
        <v>0</v>
      </c>
      <c r="K723">
        <v>8</v>
      </c>
      <c r="L723" t="s">
        <v>116</v>
      </c>
      <c r="M723">
        <v>22</v>
      </c>
      <c r="N723">
        <v>1</v>
      </c>
      <c r="O723" t="s">
        <v>15</v>
      </c>
      <c r="P723">
        <v>1</v>
      </c>
      <c r="Q723" t="s">
        <v>90</v>
      </c>
      <c r="R723" t="s">
        <v>109</v>
      </c>
    </row>
    <row r="724" spans="1:18">
      <c r="A724">
        <v>1933</v>
      </c>
      <c r="B724" t="s">
        <v>108</v>
      </c>
      <c r="C724">
        <v>3</v>
      </c>
      <c r="D724">
        <v>9</v>
      </c>
      <c r="E724" t="s">
        <v>89</v>
      </c>
      <c r="F724" t="s">
        <v>90</v>
      </c>
      <c r="G724" t="s">
        <v>15</v>
      </c>
      <c r="H724" t="s">
        <v>91</v>
      </c>
      <c r="I724">
        <v>20</v>
      </c>
      <c r="J724">
        <v>0</v>
      </c>
      <c r="K724">
        <v>8</v>
      </c>
      <c r="L724" t="s">
        <v>116</v>
      </c>
      <c r="M724">
        <v>22</v>
      </c>
      <c r="N724">
        <v>1</v>
      </c>
      <c r="O724" t="s">
        <v>15</v>
      </c>
      <c r="P724">
        <v>1</v>
      </c>
      <c r="Q724" t="s">
        <v>90</v>
      </c>
      <c r="R724" t="s">
        <v>109</v>
      </c>
    </row>
    <row r="725" spans="1:18">
      <c r="A725">
        <v>1934</v>
      </c>
      <c r="B725" t="s">
        <v>108</v>
      </c>
      <c r="C725">
        <v>4</v>
      </c>
      <c r="D725">
        <v>9</v>
      </c>
      <c r="E725" t="s">
        <v>89</v>
      </c>
      <c r="F725" t="s">
        <v>90</v>
      </c>
      <c r="G725" t="s">
        <v>15</v>
      </c>
      <c r="H725" t="s">
        <v>91</v>
      </c>
      <c r="I725">
        <v>20</v>
      </c>
      <c r="J725">
        <v>0</v>
      </c>
      <c r="K725">
        <v>8</v>
      </c>
      <c r="L725" t="s">
        <v>116</v>
      </c>
      <c r="M725">
        <v>22</v>
      </c>
      <c r="N725">
        <v>1</v>
      </c>
      <c r="O725" t="s">
        <v>15</v>
      </c>
      <c r="P725">
        <v>1</v>
      </c>
      <c r="Q725" t="s">
        <v>90</v>
      </c>
      <c r="R725" t="s">
        <v>109</v>
      </c>
    </row>
    <row r="726" spans="1:18">
      <c r="A726">
        <v>1935</v>
      </c>
      <c r="B726" t="s">
        <v>108</v>
      </c>
      <c r="C726">
        <v>5</v>
      </c>
      <c r="D726">
        <v>9</v>
      </c>
      <c r="E726" t="s">
        <v>89</v>
      </c>
      <c r="F726" t="s">
        <v>90</v>
      </c>
      <c r="G726" t="s">
        <v>15</v>
      </c>
      <c r="H726" t="s">
        <v>91</v>
      </c>
      <c r="I726">
        <v>20</v>
      </c>
      <c r="J726">
        <v>0</v>
      </c>
      <c r="K726">
        <v>8</v>
      </c>
      <c r="L726" t="s">
        <v>116</v>
      </c>
      <c r="M726">
        <v>22</v>
      </c>
      <c r="N726">
        <v>1</v>
      </c>
      <c r="O726" t="s">
        <v>15</v>
      </c>
      <c r="P726">
        <v>1</v>
      </c>
      <c r="Q726" t="s">
        <v>90</v>
      </c>
      <c r="R726" t="s">
        <v>109</v>
      </c>
    </row>
    <row r="727" spans="1:18">
      <c r="A727">
        <v>1936</v>
      </c>
      <c r="B727" t="s">
        <v>108</v>
      </c>
      <c r="C727">
        <v>6</v>
      </c>
      <c r="D727">
        <v>10</v>
      </c>
      <c r="E727" t="s">
        <v>94</v>
      </c>
      <c r="F727" t="s">
        <v>90</v>
      </c>
      <c r="G727" t="s">
        <v>15</v>
      </c>
      <c r="H727" t="s">
        <v>91</v>
      </c>
      <c r="I727">
        <v>20</v>
      </c>
      <c r="J727">
        <v>0</v>
      </c>
      <c r="K727">
        <v>8</v>
      </c>
      <c r="L727" t="s">
        <v>116</v>
      </c>
      <c r="M727">
        <v>22</v>
      </c>
      <c r="N727">
        <v>1</v>
      </c>
      <c r="O727" t="s">
        <v>15</v>
      </c>
      <c r="P727">
        <v>1</v>
      </c>
      <c r="Q727" t="s">
        <v>90</v>
      </c>
      <c r="R727" t="s">
        <v>109</v>
      </c>
    </row>
    <row r="728" spans="1:18">
      <c r="A728">
        <v>1937</v>
      </c>
      <c r="B728" t="s">
        <v>108</v>
      </c>
      <c r="C728">
        <v>7</v>
      </c>
      <c r="D728">
        <v>10</v>
      </c>
      <c r="E728" t="s">
        <v>94</v>
      </c>
      <c r="F728" t="s">
        <v>90</v>
      </c>
      <c r="G728" t="s">
        <v>15</v>
      </c>
      <c r="H728" t="s">
        <v>91</v>
      </c>
      <c r="I728">
        <v>20</v>
      </c>
      <c r="J728">
        <v>0</v>
      </c>
      <c r="K728">
        <v>8</v>
      </c>
      <c r="L728" t="s">
        <v>116</v>
      </c>
      <c r="M728">
        <v>22</v>
      </c>
      <c r="N728">
        <v>1</v>
      </c>
      <c r="O728" t="s">
        <v>15</v>
      </c>
      <c r="P728">
        <v>1</v>
      </c>
      <c r="Q728" t="s">
        <v>90</v>
      </c>
      <c r="R728" t="s">
        <v>109</v>
      </c>
    </row>
    <row r="729" spans="1:18">
      <c r="A729">
        <v>1938</v>
      </c>
      <c r="B729" t="s">
        <v>108</v>
      </c>
      <c r="C729">
        <v>8</v>
      </c>
      <c r="D729">
        <v>10</v>
      </c>
      <c r="E729" t="s">
        <v>94</v>
      </c>
      <c r="F729" t="s">
        <v>90</v>
      </c>
      <c r="G729" t="s">
        <v>15</v>
      </c>
      <c r="H729" t="s">
        <v>91</v>
      </c>
      <c r="I729">
        <v>20</v>
      </c>
      <c r="J729">
        <v>0</v>
      </c>
      <c r="K729">
        <v>8</v>
      </c>
      <c r="L729" t="s">
        <v>116</v>
      </c>
      <c r="M729">
        <v>22</v>
      </c>
      <c r="N729">
        <v>1</v>
      </c>
      <c r="O729" t="s">
        <v>15</v>
      </c>
      <c r="P729">
        <v>1</v>
      </c>
      <c r="Q729" t="s">
        <v>90</v>
      </c>
      <c r="R729" t="s">
        <v>109</v>
      </c>
    </row>
    <row r="730" spans="1:18">
      <c r="A730">
        <v>1939</v>
      </c>
      <c r="B730" t="s">
        <v>108</v>
      </c>
      <c r="C730">
        <v>9</v>
      </c>
      <c r="D730">
        <v>10</v>
      </c>
      <c r="E730" t="s">
        <v>94</v>
      </c>
      <c r="F730" t="s">
        <v>90</v>
      </c>
      <c r="G730" t="s">
        <v>15</v>
      </c>
      <c r="H730" t="s">
        <v>91</v>
      </c>
      <c r="I730">
        <v>20</v>
      </c>
      <c r="J730">
        <v>0</v>
      </c>
      <c r="K730">
        <v>8</v>
      </c>
      <c r="L730" t="s">
        <v>116</v>
      </c>
      <c r="M730">
        <v>22</v>
      </c>
      <c r="N730">
        <v>1</v>
      </c>
      <c r="O730" t="s">
        <v>15</v>
      </c>
      <c r="P730">
        <v>1</v>
      </c>
      <c r="Q730" t="s">
        <v>90</v>
      </c>
      <c r="R730" t="s">
        <v>109</v>
      </c>
    </row>
    <row r="731" spans="1:18">
      <c r="A731">
        <v>1940</v>
      </c>
      <c r="B731" t="s">
        <v>108</v>
      </c>
      <c r="C731">
        <v>10</v>
      </c>
      <c r="D731">
        <v>9</v>
      </c>
      <c r="E731" t="s">
        <v>89</v>
      </c>
      <c r="F731" t="s">
        <v>90</v>
      </c>
      <c r="G731" t="s">
        <v>15</v>
      </c>
      <c r="H731" t="s">
        <v>91</v>
      </c>
      <c r="I731">
        <v>20</v>
      </c>
      <c r="J731">
        <v>0</v>
      </c>
      <c r="K731">
        <v>8</v>
      </c>
      <c r="L731" t="s">
        <v>116</v>
      </c>
      <c r="M731">
        <v>22</v>
      </c>
      <c r="N731">
        <v>1</v>
      </c>
      <c r="O731" t="s">
        <v>15</v>
      </c>
      <c r="P731">
        <v>1</v>
      </c>
      <c r="Q731" t="s">
        <v>90</v>
      </c>
      <c r="R731" t="s">
        <v>109</v>
      </c>
    </row>
    <row r="732" spans="1:18">
      <c r="A732">
        <v>1941</v>
      </c>
      <c r="B732" t="s">
        <v>108</v>
      </c>
      <c r="C732">
        <v>11</v>
      </c>
      <c r="D732">
        <v>11</v>
      </c>
      <c r="E732" t="s">
        <v>95</v>
      </c>
      <c r="F732" t="s">
        <v>90</v>
      </c>
      <c r="G732" t="s">
        <v>15</v>
      </c>
      <c r="H732" t="s">
        <v>91</v>
      </c>
      <c r="I732">
        <v>20</v>
      </c>
      <c r="J732">
        <v>0</v>
      </c>
      <c r="K732">
        <v>8</v>
      </c>
      <c r="L732" t="s">
        <v>116</v>
      </c>
      <c r="M732">
        <v>22</v>
      </c>
      <c r="N732">
        <v>1</v>
      </c>
      <c r="O732" t="s">
        <v>15</v>
      </c>
      <c r="P732">
        <v>1</v>
      </c>
      <c r="Q732" t="s">
        <v>90</v>
      </c>
      <c r="R732" t="s">
        <v>109</v>
      </c>
    </row>
    <row r="733" spans="1:18">
      <c r="A733">
        <v>1942</v>
      </c>
      <c r="B733" t="s">
        <v>108</v>
      </c>
      <c r="C733">
        <v>12</v>
      </c>
      <c r="D733">
        <v>11</v>
      </c>
      <c r="E733" t="s">
        <v>95</v>
      </c>
      <c r="F733" t="s">
        <v>90</v>
      </c>
      <c r="G733" t="s">
        <v>15</v>
      </c>
      <c r="H733" t="s">
        <v>91</v>
      </c>
      <c r="I733">
        <v>20</v>
      </c>
      <c r="J733">
        <v>0</v>
      </c>
      <c r="K733">
        <v>8</v>
      </c>
      <c r="L733" t="s">
        <v>116</v>
      </c>
      <c r="M733">
        <v>22</v>
      </c>
      <c r="N733">
        <v>1</v>
      </c>
      <c r="O733" t="s">
        <v>15</v>
      </c>
      <c r="P733">
        <v>1</v>
      </c>
      <c r="Q733" t="s">
        <v>90</v>
      </c>
      <c r="R733" t="s">
        <v>109</v>
      </c>
    </row>
    <row r="734" spans="1:18">
      <c r="A734">
        <v>1943</v>
      </c>
      <c r="B734" t="s">
        <v>108</v>
      </c>
      <c r="C734">
        <v>13</v>
      </c>
      <c r="D734">
        <v>11</v>
      </c>
      <c r="E734" t="s">
        <v>95</v>
      </c>
      <c r="F734" t="s">
        <v>90</v>
      </c>
      <c r="G734" t="s">
        <v>15</v>
      </c>
      <c r="H734" t="s">
        <v>91</v>
      </c>
      <c r="I734">
        <v>20</v>
      </c>
      <c r="J734">
        <v>0</v>
      </c>
      <c r="K734">
        <v>8</v>
      </c>
      <c r="L734" t="s">
        <v>116</v>
      </c>
      <c r="M734">
        <v>22</v>
      </c>
      <c r="N734">
        <v>1</v>
      </c>
      <c r="O734" t="s">
        <v>15</v>
      </c>
      <c r="P734">
        <v>1</v>
      </c>
      <c r="Q734" t="s">
        <v>90</v>
      </c>
      <c r="R734" t="s">
        <v>109</v>
      </c>
    </row>
    <row r="735" spans="1:18">
      <c r="A735">
        <v>1944</v>
      </c>
      <c r="B735" t="s">
        <v>108</v>
      </c>
      <c r="C735">
        <v>14</v>
      </c>
      <c r="D735">
        <v>11</v>
      </c>
      <c r="E735" t="s">
        <v>95</v>
      </c>
      <c r="F735" t="s">
        <v>90</v>
      </c>
      <c r="G735" t="s">
        <v>15</v>
      </c>
      <c r="H735" t="s">
        <v>91</v>
      </c>
      <c r="I735">
        <v>20</v>
      </c>
      <c r="J735">
        <v>0</v>
      </c>
      <c r="K735">
        <v>8</v>
      </c>
      <c r="L735" t="s">
        <v>116</v>
      </c>
      <c r="M735">
        <v>22</v>
      </c>
      <c r="N735">
        <v>1</v>
      </c>
      <c r="O735" t="s">
        <v>15</v>
      </c>
      <c r="P735">
        <v>1</v>
      </c>
      <c r="Q735" t="s">
        <v>90</v>
      </c>
      <c r="R735" t="s">
        <v>109</v>
      </c>
    </row>
    <row r="736" spans="1:18">
      <c r="A736">
        <v>1945</v>
      </c>
      <c r="B736" t="s">
        <v>108</v>
      </c>
      <c r="C736">
        <v>15</v>
      </c>
      <c r="D736">
        <v>11</v>
      </c>
      <c r="E736" t="s">
        <v>95</v>
      </c>
      <c r="F736" t="s">
        <v>90</v>
      </c>
      <c r="G736" t="s">
        <v>15</v>
      </c>
      <c r="H736" t="s">
        <v>91</v>
      </c>
      <c r="I736">
        <v>20</v>
      </c>
      <c r="J736">
        <v>0</v>
      </c>
      <c r="K736">
        <v>8</v>
      </c>
      <c r="L736" t="s">
        <v>116</v>
      </c>
      <c r="M736">
        <v>22</v>
      </c>
      <c r="N736">
        <v>1</v>
      </c>
      <c r="O736" t="s">
        <v>15</v>
      </c>
      <c r="P736">
        <v>1</v>
      </c>
      <c r="Q736" t="s">
        <v>90</v>
      </c>
      <c r="R736" t="s">
        <v>109</v>
      </c>
    </row>
    <row r="737" spans="1:18">
      <c r="A737">
        <v>1946</v>
      </c>
      <c r="B737" t="s">
        <v>108</v>
      </c>
      <c r="C737">
        <v>16</v>
      </c>
      <c r="D737">
        <v>11</v>
      </c>
      <c r="E737" t="s">
        <v>95</v>
      </c>
      <c r="F737" t="s">
        <v>90</v>
      </c>
      <c r="G737" t="s">
        <v>15</v>
      </c>
      <c r="H737" t="s">
        <v>91</v>
      </c>
      <c r="I737">
        <v>20</v>
      </c>
      <c r="J737">
        <v>0</v>
      </c>
      <c r="K737">
        <v>8</v>
      </c>
      <c r="L737" t="s">
        <v>116</v>
      </c>
      <c r="M737">
        <v>22</v>
      </c>
      <c r="N737">
        <v>1</v>
      </c>
      <c r="O737" t="s">
        <v>15</v>
      </c>
      <c r="P737">
        <v>1</v>
      </c>
      <c r="Q737" t="s">
        <v>90</v>
      </c>
      <c r="R737" t="s">
        <v>109</v>
      </c>
    </row>
    <row r="738" spans="1:18">
      <c r="A738">
        <v>1947</v>
      </c>
      <c r="B738" t="s">
        <v>108</v>
      </c>
      <c r="C738">
        <v>17</v>
      </c>
      <c r="D738">
        <v>11</v>
      </c>
      <c r="E738" t="s">
        <v>95</v>
      </c>
      <c r="F738" t="s">
        <v>90</v>
      </c>
      <c r="G738" t="s">
        <v>15</v>
      </c>
      <c r="H738" t="s">
        <v>91</v>
      </c>
      <c r="I738">
        <v>20</v>
      </c>
      <c r="J738">
        <v>0</v>
      </c>
      <c r="K738">
        <v>8</v>
      </c>
      <c r="L738" t="s">
        <v>116</v>
      </c>
      <c r="M738">
        <v>22</v>
      </c>
      <c r="N738">
        <v>1</v>
      </c>
      <c r="O738" t="s">
        <v>15</v>
      </c>
      <c r="P738">
        <v>1</v>
      </c>
      <c r="Q738" t="s">
        <v>90</v>
      </c>
      <c r="R738" t="s">
        <v>109</v>
      </c>
    </row>
    <row r="739" spans="1:18">
      <c r="A739">
        <v>1948</v>
      </c>
      <c r="B739" t="s">
        <v>108</v>
      </c>
      <c r="C739">
        <v>18</v>
      </c>
      <c r="D739">
        <v>11</v>
      </c>
      <c r="E739" t="s">
        <v>95</v>
      </c>
      <c r="F739" t="s">
        <v>90</v>
      </c>
      <c r="G739" t="s">
        <v>15</v>
      </c>
      <c r="H739" t="s">
        <v>91</v>
      </c>
      <c r="I739">
        <v>20</v>
      </c>
      <c r="J739">
        <v>0</v>
      </c>
      <c r="K739">
        <v>8</v>
      </c>
      <c r="L739" t="s">
        <v>116</v>
      </c>
      <c r="M739">
        <v>22</v>
      </c>
      <c r="N739">
        <v>1</v>
      </c>
      <c r="O739" t="s">
        <v>15</v>
      </c>
      <c r="P739">
        <v>1</v>
      </c>
      <c r="Q739" t="s">
        <v>90</v>
      </c>
      <c r="R739" t="s">
        <v>109</v>
      </c>
    </row>
    <row r="740" spans="1:18">
      <c r="A740">
        <v>1949</v>
      </c>
      <c r="B740" t="s">
        <v>108</v>
      </c>
      <c r="C740">
        <v>19</v>
      </c>
      <c r="D740">
        <v>11</v>
      </c>
      <c r="E740" t="s">
        <v>95</v>
      </c>
      <c r="F740" t="s">
        <v>90</v>
      </c>
      <c r="G740" t="s">
        <v>15</v>
      </c>
      <c r="H740" t="s">
        <v>91</v>
      </c>
      <c r="I740">
        <v>20</v>
      </c>
      <c r="J740">
        <v>0</v>
      </c>
      <c r="K740">
        <v>8</v>
      </c>
      <c r="L740" t="s">
        <v>116</v>
      </c>
      <c r="M740">
        <v>22</v>
      </c>
      <c r="N740">
        <v>1</v>
      </c>
      <c r="O740" t="s">
        <v>15</v>
      </c>
      <c r="P740">
        <v>1</v>
      </c>
      <c r="Q740" t="s">
        <v>90</v>
      </c>
      <c r="R740" t="s">
        <v>109</v>
      </c>
    </row>
    <row r="741" spans="1:18">
      <c r="A741">
        <v>1950</v>
      </c>
      <c r="B741" t="s">
        <v>108</v>
      </c>
      <c r="C741">
        <v>20</v>
      </c>
      <c r="D741">
        <v>11</v>
      </c>
      <c r="E741" t="s">
        <v>95</v>
      </c>
      <c r="F741" t="s">
        <v>90</v>
      </c>
      <c r="G741" t="s">
        <v>15</v>
      </c>
      <c r="H741" t="s">
        <v>91</v>
      </c>
      <c r="I741">
        <v>20</v>
      </c>
      <c r="J741">
        <v>0</v>
      </c>
      <c r="K741">
        <v>8</v>
      </c>
      <c r="L741" t="s">
        <v>116</v>
      </c>
      <c r="M741">
        <v>22</v>
      </c>
      <c r="N741">
        <v>1</v>
      </c>
      <c r="O741" t="s">
        <v>15</v>
      </c>
      <c r="P741">
        <v>1</v>
      </c>
      <c r="Q741" t="s">
        <v>90</v>
      </c>
      <c r="R741" t="s">
        <v>109</v>
      </c>
    </row>
    <row r="742" spans="1:18">
      <c r="A742">
        <v>1951</v>
      </c>
      <c r="B742" t="s">
        <v>108</v>
      </c>
      <c r="C742">
        <v>21</v>
      </c>
      <c r="D742">
        <v>9</v>
      </c>
      <c r="E742" t="s">
        <v>89</v>
      </c>
      <c r="F742" t="s">
        <v>90</v>
      </c>
      <c r="G742" t="s">
        <v>15</v>
      </c>
      <c r="H742" t="s">
        <v>91</v>
      </c>
      <c r="I742">
        <v>20</v>
      </c>
      <c r="J742">
        <v>0</v>
      </c>
      <c r="K742">
        <v>8</v>
      </c>
      <c r="L742" t="s">
        <v>116</v>
      </c>
      <c r="M742">
        <v>22</v>
      </c>
      <c r="N742">
        <v>1</v>
      </c>
      <c r="O742" t="s">
        <v>15</v>
      </c>
      <c r="P742">
        <v>1</v>
      </c>
      <c r="Q742" t="s">
        <v>90</v>
      </c>
      <c r="R742" t="s">
        <v>109</v>
      </c>
    </row>
    <row r="743" spans="1:18">
      <c r="A743">
        <v>1952</v>
      </c>
      <c r="B743" t="s">
        <v>108</v>
      </c>
      <c r="C743">
        <v>22</v>
      </c>
      <c r="D743">
        <v>10</v>
      </c>
      <c r="E743" t="s">
        <v>94</v>
      </c>
      <c r="F743" t="s">
        <v>90</v>
      </c>
      <c r="G743" t="s">
        <v>15</v>
      </c>
      <c r="H743" t="s">
        <v>91</v>
      </c>
      <c r="I743">
        <v>20</v>
      </c>
      <c r="J743">
        <v>0</v>
      </c>
      <c r="K743">
        <v>8</v>
      </c>
      <c r="L743" t="s">
        <v>116</v>
      </c>
      <c r="M743">
        <v>22</v>
      </c>
      <c r="N743">
        <v>1</v>
      </c>
      <c r="O743" t="s">
        <v>15</v>
      </c>
      <c r="P743">
        <v>1</v>
      </c>
      <c r="Q743" t="s">
        <v>90</v>
      </c>
      <c r="R743" t="s">
        <v>109</v>
      </c>
    </row>
    <row r="744" spans="1:18">
      <c r="A744">
        <v>1953</v>
      </c>
      <c r="B744" t="s">
        <v>108</v>
      </c>
      <c r="C744">
        <v>23</v>
      </c>
      <c r="D744">
        <v>9</v>
      </c>
      <c r="E744" t="s">
        <v>89</v>
      </c>
      <c r="F744" t="s">
        <v>90</v>
      </c>
      <c r="G744" t="s">
        <v>15</v>
      </c>
      <c r="H744" t="s">
        <v>91</v>
      </c>
      <c r="I744">
        <v>20</v>
      </c>
      <c r="J744">
        <v>0</v>
      </c>
      <c r="K744">
        <v>8</v>
      </c>
      <c r="L744" t="s">
        <v>116</v>
      </c>
      <c r="M744">
        <v>22</v>
      </c>
      <c r="N744">
        <v>1</v>
      </c>
      <c r="O744" t="s">
        <v>15</v>
      </c>
      <c r="P744">
        <v>1</v>
      </c>
      <c r="Q744" t="s">
        <v>90</v>
      </c>
      <c r="R744" t="s">
        <v>109</v>
      </c>
    </row>
    <row r="745" spans="1:18">
      <c r="A745">
        <v>1954</v>
      </c>
      <c r="B745" t="s">
        <v>108</v>
      </c>
      <c r="C745">
        <v>24</v>
      </c>
      <c r="D745">
        <v>10</v>
      </c>
      <c r="E745" t="s">
        <v>94</v>
      </c>
      <c r="F745" t="s">
        <v>90</v>
      </c>
      <c r="G745" t="s">
        <v>15</v>
      </c>
      <c r="H745" t="s">
        <v>91</v>
      </c>
      <c r="I745">
        <v>20</v>
      </c>
      <c r="J745">
        <v>0</v>
      </c>
      <c r="K745">
        <v>8</v>
      </c>
      <c r="L745" t="s">
        <v>116</v>
      </c>
      <c r="M745">
        <v>22</v>
      </c>
      <c r="N745">
        <v>1</v>
      </c>
      <c r="O745" t="s">
        <v>15</v>
      </c>
      <c r="P745">
        <v>1</v>
      </c>
      <c r="Q745" t="s">
        <v>90</v>
      </c>
      <c r="R745" t="s">
        <v>109</v>
      </c>
    </row>
    <row r="746" spans="1:18">
      <c r="A746">
        <v>1955</v>
      </c>
      <c r="B746" t="s">
        <v>108</v>
      </c>
      <c r="C746">
        <v>25</v>
      </c>
      <c r="D746">
        <v>9</v>
      </c>
      <c r="E746" t="s">
        <v>89</v>
      </c>
      <c r="F746" t="s">
        <v>90</v>
      </c>
      <c r="G746" t="s">
        <v>15</v>
      </c>
      <c r="H746" t="s">
        <v>91</v>
      </c>
      <c r="I746">
        <v>20</v>
      </c>
      <c r="J746">
        <v>0</v>
      </c>
      <c r="K746">
        <v>8</v>
      </c>
      <c r="L746" t="s">
        <v>116</v>
      </c>
      <c r="M746">
        <v>22</v>
      </c>
      <c r="N746">
        <v>1</v>
      </c>
      <c r="O746" t="s">
        <v>15</v>
      </c>
      <c r="P746">
        <v>1</v>
      </c>
      <c r="Q746" t="s">
        <v>90</v>
      </c>
      <c r="R746" t="s">
        <v>109</v>
      </c>
    </row>
    <row r="747" spans="1:18">
      <c r="A747">
        <v>1956</v>
      </c>
      <c r="B747" t="s">
        <v>108</v>
      </c>
      <c r="C747">
        <v>26</v>
      </c>
      <c r="D747">
        <v>10</v>
      </c>
      <c r="E747" t="s">
        <v>94</v>
      </c>
      <c r="F747" t="s">
        <v>90</v>
      </c>
      <c r="G747" t="s">
        <v>15</v>
      </c>
      <c r="H747" t="s">
        <v>91</v>
      </c>
      <c r="I747">
        <v>20</v>
      </c>
      <c r="J747">
        <v>0</v>
      </c>
      <c r="K747">
        <v>8</v>
      </c>
      <c r="L747" t="s">
        <v>116</v>
      </c>
      <c r="M747">
        <v>22</v>
      </c>
      <c r="N747">
        <v>1</v>
      </c>
      <c r="O747" t="s">
        <v>15</v>
      </c>
      <c r="P747">
        <v>1</v>
      </c>
      <c r="Q747" t="s">
        <v>90</v>
      </c>
      <c r="R747" t="s">
        <v>109</v>
      </c>
    </row>
    <row r="748" spans="1:18">
      <c r="A748">
        <v>1957</v>
      </c>
      <c r="B748" t="s">
        <v>108</v>
      </c>
      <c r="C748">
        <v>27</v>
      </c>
      <c r="D748">
        <v>9</v>
      </c>
      <c r="E748" t="s">
        <v>89</v>
      </c>
      <c r="F748" t="s">
        <v>90</v>
      </c>
      <c r="G748" t="s">
        <v>15</v>
      </c>
      <c r="H748" t="s">
        <v>91</v>
      </c>
      <c r="I748">
        <v>20</v>
      </c>
      <c r="J748">
        <v>0</v>
      </c>
      <c r="K748">
        <v>8</v>
      </c>
      <c r="L748" t="s">
        <v>116</v>
      </c>
      <c r="M748">
        <v>22</v>
      </c>
      <c r="N748">
        <v>1</v>
      </c>
      <c r="O748" t="s">
        <v>15</v>
      </c>
      <c r="P748">
        <v>1</v>
      </c>
      <c r="Q748" t="s">
        <v>90</v>
      </c>
      <c r="R748" t="s">
        <v>109</v>
      </c>
    </row>
    <row r="749" spans="1:18">
      <c r="A749">
        <v>1958</v>
      </c>
      <c r="B749" t="s">
        <v>108</v>
      </c>
      <c r="C749">
        <v>28</v>
      </c>
      <c r="D749">
        <v>10</v>
      </c>
      <c r="E749" t="s">
        <v>94</v>
      </c>
      <c r="F749" t="s">
        <v>90</v>
      </c>
      <c r="G749" t="s">
        <v>15</v>
      </c>
      <c r="H749" t="s">
        <v>91</v>
      </c>
      <c r="I749">
        <v>20</v>
      </c>
      <c r="J749">
        <v>0</v>
      </c>
      <c r="K749">
        <v>8</v>
      </c>
      <c r="L749" t="s">
        <v>116</v>
      </c>
      <c r="M749">
        <v>22</v>
      </c>
      <c r="N749">
        <v>1</v>
      </c>
      <c r="O749" t="s">
        <v>15</v>
      </c>
      <c r="P749">
        <v>1</v>
      </c>
      <c r="Q749" t="s">
        <v>90</v>
      </c>
      <c r="R749" t="s">
        <v>109</v>
      </c>
    </row>
    <row r="750" spans="1:18">
      <c r="A750">
        <v>1959</v>
      </c>
      <c r="B750" t="s">
        <v>108</v>
      </c>
      <c r="C750">
        <v>29</v>
      </c>
      <c r="D750">
        <v>9</v>
      </c>
      <c r="E750" t="s">
        <v>89</v>
      </c>
      <c r="F750" t="s">
        <v>90</v>
      </c>
      <c r="G750" t="s">
        <v>15</v>
      </c>
      <c r="H750" t="s">
        <v>91</v>
      </c>
      <c r="I750">
        <v>20</v>
      </c>
      <c r="J750">
        <v>0</v>
      </c>
      <c r="K750">
        <v>8</v>
      </c>
      <c r="L750" t="s">
        <v>116</v>
      </c>
      <c r="M750">
        <v>22</v>
      </c>
      <c r="N750">
        <v>1</v>
      </c>
      <c r="O750" t="s">
        <v>15</v>
      </c>
      <c r="P750">
        <v>1</v>
      </c>
      <c r="Q750" t="s">
        <v>90</v>
      </c>
      <c r="R750" t="s">
        <v>109</v>
      </c>
    </row>
    <row r="751" spans="1:18">
      <c r="A751">
        <v>1960</v>
      </c>
      <c r="B751" t="s">
        <v>108</v>
      </c>
      <c r="C751">
        <v>30</v>
      </c>
      <c r="D751">
        <v>10</v>
      </c>
      <c r="E751" t="s">
        <v>94</v>
      </c>
      <c r="F751" t="s">
        <v>90</v>
      </c>
      <c r="G751" t="s">
        <v>15</v>
      </c>
      <c r="H751" t="s">
        <v>91</v>
      </c>
      <c r="I751">
        <v>20</v>
      </c>
      <c r="J751">
        <v>0</v>
      </c>
      <c r="K751">
        <v>8</v>
      </c>
      <c r="L751" t="s">
        <v>116</v>
      </c>
      <c r="M751">
        <v>22</v>
      </c>
      <c r="N751">
        <v>1</v>
      </c>
      <c r="O751" t="s">
        <v>15</v>
      </c>
      <c r="P751">
        <v>1</v>
      </c>
      <c r="Q751" t="s">
        <v>90</v>
      </c>
      <c r="R751" t="s">
        <v>109</v>
      </c>
    </row>
    <row r="752" spans="1:18">
      <c r="A752">
        <v>1961</v>
      </c>
      <c r="B752" t="s">
        <v>108</v>
      </c>
      <c r="C752">
        <v>31</v>
      </c>
      <c r="D752">
        <v>12</v>
      </c>
      <c r="E752" t="s">
        <v>96</v>
      </c>
      <c r="F752" t="s">
        <v>90</v>
      </c>
      <c r="G752" t="s">
        <v>15</v>
      </c>
      <c r="H752" t="s">
        <v>91</v>
      </c>
      <c r="I752">
        <v>20</v>
      </c>
      <c r="J752">
        <v>0</v>
      </c>
      <c r="K752">
        <v>8</v>
      </c>
      <c r="L752" t="s">
        <v>116</v>
      </c>
      <c r="M752">
        <v>22</v>
      </c>
      <c r="N752">
        <v>1</v>
      </c>
      <c r="O752" t="s">
        <v>15</v>
      </c>
      <c r="P752">
        <v>1</v>
      </c>
      <c r="Q752" t="s">
        <v>90</v>
      </c>
      <c r="R752" t="s">
        <v>109</v>
      </c>
    </row>
    <row r="753" spans="1:18">
      <c r="A753">
        <v>1962</v>
      </c>
      <c r="B753" t="s">
        <v>108</v>
      </c>
      <c r="C753">
        <v>32</v>
      </c>
      <c r="D753">
        <v>12</v>
      </c>
      <c r="E753" t="s">
        <v>96</v>
      </c>
      <c r="F753" t="s">
        <v>90</v>
      </c>
      <c r="G753" t="s">
        <v>15</v>
      </c>
      <c r="H753" t="s">
        <v>91</v>
      </c>
      <c r="I753">
        <v>20</v>
      </c>
      <c r="J753">
        <v>0</v>
      </c>
      <c r="K753">
        <v>8</v>
      </c>
      <c r="L753" t="s">
        <v>116</v>
      </c>
      <c r="M753">
        <v>22</v>
      </c>
      <c r="N753">
        <v>1</v>
      </c>
      <c r="O753" t="s">
        <v>15</v>
      </c>
      <c r="P753">
        <v>1</v>
      </c>
      <c r="Q753" t="s">
        <v>90</v>
      </c>
      <c r="R753" t="s">
        <v>109</v>
      </c>
    </row>
    <row r="754" spans="1:18">
      <c r="A754">
        <v>1963</v>
      </c>
      <c r="B754" t="s">
        <v>108</v>
      </c>
      <c r="C754">
        <v>33</v>
      </c>
      <c r="D754">
        <v>12</v>
      </c>
      <c r="E754" t="s">
        <v>96</v>
      </c>
      <c r="F754" t="s">
        <v>90</v>
      </c>
      <c r="G754" t="s">
        <v>15</v>
      </c>
      <c r="H754" t="s">
        <v>91</v>
      </c>
      <c r="I754">
        <v>20</v>
      </c>
      <c r="J754">
        <v>0</v>
      </c>
      <c r="K754">
        <v>8</v>
      </c>
      <c r="L754" t="s">
        <v>116</v>
      </c>
      <c r="M754">
        <v>22</v>
      </c>
      <c r="N754">
        <v>1</v>
      </c>
      <c r="O754" t="s">
        <v>15</v>
      </c>
      <c r="P754">
        <v>1</v>
      </c>
      <c r="Q754" t="s">
        <v>90</v>
      </c>
      <c r="R754" t="s">
        <v>109</v>
      </c>
    </row>
    <row r="755" spans="1:18">
      <c r="A755">
        <v>1964</v>
      </c>
      <c r="B755" t="s">
        <v>108</v>
      </c>
      <c r="C755">
        <v>34</v>
      </c>
      <c r="D755">
        <v>12</v>
      </c>
      <c r="E755" t="s">
        <v>96</v>
      </c>
      <c r="F755" t="s">
        <v>90</v>
      </c>
      <c r="G755" t="s">
        <v>15</v>
      </c>
      <c r="H755" t="s">
        <v>91</v>
      </c>
      <c r="I755">
        <v>20</v>
      </c>
      <c r="J755">
        <v>0</v>
      </c>
      <c r="K755">
        <v>8</v>
      </c>
      <c r="L755" t="s">
        <v>116</v>
      </c>
      <c r="M755">
        <v>22</v>
      </c>
      <c r="N755">
        <v>1</v>
      </c>
      <c r="O755" t="s">
        <v>15</v>
      </c>
      <c r="P755">
        <v>1</v>
      </c>
      <c r="Q755" t="s">
        <v>90</v>
      </c>
      <c r="R755" t="s">
        <v>109</v>
      </c>
    </row>
    <row r="756" spans="1:18">
      <c r="A756">
        <v>1965</v>
      </c>
      <c r="B756" t="s">
        <v>108</v>
      </c>
      <c r="C756">
        <v>35</v>
      </c>
      <c r="D756">
        <v>12</v>
      </c>
      <c r="E756" t="s">
        <v>96</v>
      </c>
      <c r="F756" t="s">
        <v>90</v>
      </c>
      <c r="G756" t="s">
        <v>15</v>
      </c>
      <c r="H756" t="s">
        <v>91</v>
      </c>
      <c r="I756">
        <v>20</v>
      </c>
      <c r="J756">
        <v>0</v>
      </c>
      <c r="K756">
        <v>8</v>
      </c>
      <c r="L756" t="s">
        <v>116</v>
      </c>
      <c r="M756">
        <v>22</v>
      </c>
      <c r="N756">
        <v>1</v>
      </c>
      <c r="O756" t="s">
        <v>15</v>
      </c>
      <c r="P756">
        <v>1</v>
      </c>
      <c r="Q756" t="s">
        <v>90</v>
      </c>
      <c r="R756" t="s">
        <v>109</v>
      </c>
    </row>
    <row r="757" spans="1:18">
      <c r="A757">
        <v>1966</v>
      </c>
      <c r="B757" t="s">
        <v>108</v>
      </c>
      <c r="C757">
        <v>36</v>
      </c>
      <c r="D757">
        <v>12</v>
      </c>
      <c r="E757" t="s">
        <v>96</v>
      </c>
      <c r="F757" t="s">
        <v>90</v>
      </c>
      <c r="G757" t="s">
        <v>15</v>
      </c>
      <c r="H757" t="s">
        <v>91</v>
      </c>
      <c r="I757">
        <v>20</v>
      </c>
      <c r="J757">
        <v>0</v>
      </c>
      <c r="K757">
        <v>8</v>
      </c>
      <c r="L757" t="s">
        <v>116</v>
      </c>
      <c r="M757">
        <v>22</v>
      </c>
      <c r="N757">
        <v>1</v>
      </c>
      <c r="O757" t="s">
        <v>15</v>
      </c>
      <c r="P757">
        <v>1</v>
      </c>
      <c r="Q757" t="s">
        <v>90</v>
      </c>
      <c r="R757" t="s">
        <v>109</v>
      </c>
    </row>
    <row r="758" spans="1:18">
      <c r="A758">
        <v>1967</v>
      </c>
      <c r="B758" t="s">
        <v>108</v>
      </c>
      <c r="C758">
        <v>37</v>
      </c>
      <c r="D758">
        <v>12</v>
      </c>
      <c r="E758" t="s">
        <v>96</v>
      </c>
      <c r="F758" t="s">
        <v>90</v>
      </c>
      <c r="G758" t="s">
        <v>15</v>
      </c>
      <c r="H758" t="s">
        <v>91</v>
      </c>
      <c r="I758">
        <v>20</v>
      </c>
      <c r="J758">
        <v>0</v>
      </c>
      <c r="K758">
        <v>8</v>
      </c>
      <c r="L758" t="s">
        <v>116</v>
      </c>
      <c r="M758">
        <v>22</v>
      </c>
      <c r="N758">
        <v>1</v>
      </c>
      <c r="O758" t="s">
        <v>15</v>
      </c>
      <c r="P758">
        <v>1</v>
      </c>
      <c r="Q758" t="s">
        <v>90</v>
      </c>
      <c r="R758" t="s">
        <v>109</v>
      </c>
    </row>
    <row r="759" spans="1:18">
      <c r="A759">
        <v>1968</v>
      </c>
      <c r="B759" t="s">
        <v>108</v>
      </c>
      <c r="C759">
        <v>38</v>
      </c>
      <c r="D759">
        <v>12</v>
      </c>
      <c r="E759" t="s">
        <v>96</v>
      </c>
      <c r="F759" t="s">
        <v>90</v>
      </c>
      <c r="G759" t="s">
        <v>15</v>
      </c>
      <c r="H759" t="s">
        <v>91</v>
      </c>
      <c r="I759">
        <v>20</v>
      </c>
      <c r="J759">
        <v>0</v>
      </c>
      <c r="K759">
        <v>8</v>
      </c>
      <c r="L759" t="s">
        <v>116</v>
      </c>
      <c r="M759">
        <v>22</v>
      </c>
      <c r="N759">
        <v>1</v>
      </c>
      <c r="O759" t="s">
        <v>15</v>
      </c>
      <c r="P759">
        <v>1</v>
      </c>
      <c r="Q759" t="s">
        <v>90</v>
      </c>
      <c r="R759" t="s">
        <v>109</v>
      </c>
    </row>
    <row r="760" spans="1:18">
      <c r="A760">
        <v>1969</v>
      </c>
      <c r="B760" t="s">
        <v>108</v>
      </c>
      <c r="C760">
        <v>39</v>
      </c>
      <c r="D760">
        <v>12</v>
      </c>
      <c r="E760" t="s">
        <v>96</v>
      </c>
      <c r="F760" t="s">
        <v>90</v>
      </c>
      <c r="G760" t="s">
        <v>15</v>
      </c>
      <c r="H760" t="s">
        <v>91</v>
      </c>
      <c r="I760">
        <v>20</v>
      </c>
      <c r="J760">
        <v>0</v>
      </c>
      <c r="K760">
        <v>8</v>
      </c>
      <c r="L760" t="s">
        <v>116</v>
      </c>
      <c r="M760">
        <v>22</v>
      </c>
      <c r="N760">
        <v>1</v>
      </c>
      <c r="O760" t="s">
        <v>15</v>
      </c>
      <c r="P760">
        <v>1</v>
      </c>
      <c r="Q760" t="s">
        <v>90</v>
      </c>
      <c r="R760" t="s">
        <v>109</v>
      </c>
    </row>
    <row r="761" spans="1:18">
      <c r="A761">
        <v>1970</v>
      </c>
      <c r="B761" t="s">
        <v>108</v>
      </c>
      <c r="C761">
        <v>40</v>
      </c>
      <c r="D761">
        <v>12</v>
      </c>
      <c r="E761" t="s">
        <v>96</v>
      </c>
      <c r="F761" t="s">
        <v>90</v>
      </c>
      <c r="G761" t="s">
        <v>15</v>
      </c>
      <c r="H761" t="s">
        <v>91</v>
      </c>
      <c r="I761">
        <v>20</v>
      </c>
      <c r="J761">
        <v>0</v>
      </c>
      <c r="K761">
        <v>8</v>
      </c>
      <c r="L761" t="s">
        <v>116</v>
      </c>
      <c r="M761">
        <v>22</v>
      </c>
      <c r="N761">
        <v>1</v>
      </c>
      <c r="O761" t="s">
        <v>15</v>
      </c>
      <c r="P761">
        <v>1</v>
      </c>
      <c r="Q761" t="s">
        <v>90</v>
      </c>
      <c r="R761" t="s">
        <v>109</v>
      </c>
    </row>
    <row r="762" spans="1:18">
      <c r="A762">
        <v>1971</v>
      </c>
      <c r="B762" t="s">
        <v>110</v>
      </c>
      <c r="C762">
        <v>1</v>
      </c>
      <c r="D762">
        <v>9</v>
      </c>
      <c r="E762" t="s">
        <v>89</v>
      </c>
      <c r="F762" t="s">
        <v>90</v>
      </c>
      <c r="G762" t="s">
        <v>15</v>
      </c>
      <c r="H762" t="s">
        <v>91</v>
      </c>
      <c r="I762">
        <v>20</v>
      </c>
      <c r="J762">
        <v>0</v>
      </c>
      <c r="K762">
        <v>8</v>
      </c>
      <c r="L762" t="s">
        <v>116</v>
      </c>
      <c r="M762">
        <v>23</v>
      </c>
      <c r="N762">
        <v>1</v>
      </c>
      <c r="O762" t="s">
        <v>15</v>
      </c>
      <c r="P762">
        <v>1</v>
      </c>
      <c r="Q762" t="s">
        <v>90</v>
      </c>
      <c r="R762" t="s">
        <v>111</v>
      </c>
    </row>
    <row r="763" spans="1:18">
      <c r="A763">
        <v>1972</v>
      </c>
      <c r="B763" t="s">
        <v>110</v>
      </c>
      <c r="C763">
        <v>2</v>
      </c>
      <c r="D763">
        <v>10</v>
      </c>
      <c r="E763" t="s">
        <v>94</v>
      </c>
      <c r="F763" t="s">
        <v>90</v>
      </c>
      <c r="G763" t="s">
        <v>15</v>
      </c>
      <c r="H763" t="s">
        <v>91</v>
      </c>
      <c r="I763">
        <v>20</v>
      </c>
      <c r="J763">
        <v>0</v>
      </c>
      <c r="K763">
        <v>8</v>
      </c>
      <c r="L763" t="s">
        <v>116</v>
      </c>
      <c r="M763">
        <v>23</v>
      </c>
      <c r="N763">
        <v>1</v>
      </c>
      <c r="O763" t="s">
        <v>15</v>
      </c>
      <c r="P763">
        <v>1</v>
      </c>
      <c r="Q763" t="s">
        <v>90</v>
      </c>
      <c r="R763" t="s">
        <v>111</v>
      </c>
    </row>
    <row r="764" spans="1:18">
      <c r="A764">
        <v>1973</v>
      </c>
      <c r="B764" t="s">
        <v>110</v>
      </c>
      <c r="C764">
        <v>3</v>
      </c>
      <c r="D764">
        <v>9</v>
      </c>
      <c r="E764" t="s">
        <v>89</v>
      </c>
      <c r="F764" t="s">
        <v>90</v>
      </c>
      <c r="G764" t="s">
        <v>15</v>
      </c>
      <c r="H764" t="s">
        <v>91</v>
      </c>
      <c r="I764">
        <v>20</v>
      </c>
      <c r="J764">
        <v>0</v>
      </c>
      <c r="K764">
        <v>8</v>
      </c>
      <c r="L764" t="s">
        <v>116</v>
      </c>
      <c r="M764">
        <v>23</v>
      </c>
      <c r="N764">
        <v>1</v>
      </c>
      <c r="O764" t="s">
        <v>15</v>
      </c>
      <c r="P764">
        <v>1</v>
      </c>
      <c r="Q764" t="s">
        <v>90</v>
      </c>
      <c r="R764" t="s">
        <v>111</v>
      </c>
    </row>
    <row r="765" spans="1:18">
      <c r="A765">
        <v>1974</v>
      </c>
      <c r="B765" t="s">
        <v>110</v>
      </c>
      <c r="C765">
        <v>4</v>
      </c>
      <c r="D765">
        <v>9</v>
      </c>
      <c r="E765" t="s">
        <v>89</v>
      </c>
      <c r="F765" t="s">
        <v>90</v>
      </c>
      <c r="G765" t="s">
        <v>15</v>
      </c>
      <c r="H765" t="s">
        <v>91</v>
      </c>
      <c r="I765">
        <v>20</v>
      </c>
      <c r="J765">
        <v>0</v>
      </c>
      <c r="K765">
        <v>8</v>
      </c>
      <c r="L765" t="s">
        <v>116</v>
      </c>
      <c r="M765">
        <v>23</v>
      </c>
      <c r="N765">
        <v>1</v>
      </c>
      <c r="O765" t="s">
        <v>15</v>
      </c>
      <c r="P765">
        <v>1</v>
      </c>
      <c r="Q765" t="s">
        <v>90</v>
      </c>
      <c r="R765" t="s">
        <v>111</v>
      </c>
    </row>
    <row r="766" spans="1:18">
      <c r="A766">
        <v>1975</v>
      </c>
      <c r="B766" t="s">
        <v>110</v>
      </c>
      <c r="C766">
        <v>5</v>
      </c>
      <c r="D766">
        <v>9</v>
      </c>
      <c r="E766" t="s">
        <v>89</v>
      </c>
      <c r="F766" t="s">
        <v>90</v>
      </c>
      <c r="G766" t="s">
        <v>15</v>
      </c>
      <c r="H766" t="s">
        <v>91</v>
      </c>
      <c r="I766">
        <v>20</v>
      </c>
      <c r="J766">
        <v>0</v>
      </c>
      <c r="K766">
        <v>8</v>
      </c>
      <c r="L766" t="s">
        <v>116</v>
      </c>
      <c r="M766">
        <v>23</v>
      </c>
      <c r="N766">
        <v>1</v>
      </c>
      <c r="O766" t="s">
        <v>15</v>
      </c>
      <c r="P766">
        <v>1</v>
      </c>
      <c r="Q766" t="s">
        <v>90</v>
      </c>
      <c r="R766" t="s">
        <v>111</v>
      </c>
    </row>
    <row r="767" spans="1:18">
      <c r="A767">
        <v>1976</v>
      </c>
      <c r="B767" t="s">
        <v>110</v>
      </c>
      <c r="C767">
        <v>6</v>
      </c>
      <c r="D767">
        <v>10</v>
      </c>
      <c r="E767" t="s">
        <v>94</v>
      </c>
      <c r="F767" t="s">
        <v>90</v>
      </c>
      <c r="G767" t="s">
        <v>15</v>
      </c>
      <c r="H767" t="s">
        <v>91</v>
      </c>
      <c r="I767">
        <v>20</v>
      </c>
      <c r="J767">
        <v>0</v>
      </c>
      <c r="K767">
        <v>8</v>
      </c>
      <c r="L767" t="s">
        <v>116</v>
      </c>
      <c r="M767">
        <v>23</v>
      </c>
      <c r="N767">
        <v>1</v>
      </c>
      <c r="O767" t="s">
        <v>15</v>
      </c>
      <c r="P767">
        <v>1</v>
      </c>
      <c r="Q767" t="s">
        <v>90</v>
      </c>
      <c r="R767" t="s">
        <v>111</v>
      </c>
    </row>
    <row r="768" spans="1:18">
      <c r="A768">
        <v>1977</v>
      </c>
      <c r="B768" t="s">
        <v>110</v>
      </c>
      <c r="C768">
        <v>7</v>
      </c>
      <c r="D768">
        <v>10</v>
      </c>
      <c r="E768" t="s">
        <v>94</v>
      </c>
      <c r="F768" t="s">
        <v>90</v>
      </c>
      <c r="G768" t="s">
        <v>15</v>
      </c>
      <c r="H768" t="s">
        <v>91</v>
      </c>
      <c r="I768">
        <v>20</v>
      </c>
      <c r="J768">
        <v>0</v>
      </c>
      <c r="K768">
        <v>8</v>
      </c>
      <c r="L768" t="s">
        <v>116</v>
      </c>
      <c r="M768">
        <v>23</v>
      </c>
      <c r="N768">
        <v>1</v>
      </c>
      <c r="O768" t="s">
        <v>15</v>
      </c>
      <c r="P768">
        <v>1</v>
      </c>
      <c r="Q768" t="s">
        <v>90</v>
      </c>
      <c r="R768" t="s">
        <v>111</v>
      </c>
    </row>
    <row r="769" spans="1:18">
      <c r="A769">
        <v>1978</v>
      </c>
      <c r="B769" t="s">
        <v>110</v>
      </c>
      <c r="C769">
        <v>8</v>
      </c>
      <c r="D769">
        <v>10</v>
      </c>
      <c r="E769" t="s">
        <v>94</v>
      </c>
      <c r="F769" t="s">
        <v>90</v>
      </c>
      <c r="G769" t="s">
        <v>15</v>
      </c>
      <c r="H769" t="s">
        <v>91</v>
      </c>
      <c r="I769">
        <v>20</v>
      </c>
      <c r="J769">
        <v>0</v>
      </c>
      <c r="K769">
        <v>8</v>
      </c>
      <c r="L769" t="s">
        <v>116</v>
      </c>
      <c r="M769">
        <v>23</v>
      </c>
      <c r="N769">
        <v>1</v>
      </c>
      <c r="O769" t="s">
        <v>15</v>
      </c>
      <c r="P769">
        <v>1</v>
      </c>
      <c r="Q769" t="s">
        <v>90</v>
      </c>
      <c r="R769" t="s">
        <v>111</v>
      </c>
    </row>
    <row r="770" spans="1:18">
      <c r="A770">
        <v>1979</v>
      </c>
      <c r="B770" t="s">
        <v>110</v>
      </c>
      <c r="C770">
        <v>9</v>
      </c>
      <c r="D770">
        <v>10</v>
      </c>
      <c r="E770" t="s">
        <v>94</v>
      </c>
      <c r="F770" t="s">
        <v>90</v>
      </c>
      <c r="G770" t="s">
        <v>15</v>
      </c>
      <c r="H770" t="s">
        <v>91</v>
      </c>
      <c r="I770">
        <v>20</v>
      </c>
      <c r="J770">
        <v>0</v>
      </c>
      <c r="K770">
        <v>8</v>
      </c>
      <c r="L770" t="s">
        <v>116</v>
      </c>
      <c r="M770">
        <v>23</v>
      </c>
      <c r="N770">
        <v>1</v>
      </c>
      <c r="O770" t="s">
        <v>15</v>
      </c>
      <c r="P770">
        <v>1</v>
      </c>
      <c r="Q770" t="s">
        <v>90</v>
      </c>
      <c r="R770" t="s">
        <v>111</v>
      </c>
    </row>
    <row r="771" spans="1:18">
      <c r="A771">
        <v>1980</v>
      </c>
      <c r="B771" t="s">
        <v>110</v>
      </c>
      <c r="C771">
        <v>10</v>
      </c>
      <c r="D771">
        <v>9</v>
      </c>
      <c r="E771" t="s">
        <v>89</v>
      </c>
      <c r="F771" t="s">
        <v>90</v>
      </c>
      <c r="G771" t="s">
        <v>15</v>
      </c>
      <c r="H771" t="s">
        <v>91</v>
      </c>
      <c r="I771">
        <v>20</v>
      </c>
      <c r="J771">
        <v>0</v>
      </c>
      <c r="K771">
        <v>8</v>
      </c>
      <c r="L771" t="s">
        <v>116</v>
      </c>
      <c r="M771">
        <v>23</v>
      </c>
      <c r="N771">
        <v>1</v>
      </c>
      <c r="O771" t="s">
        <v>15</v>
      </c>
      <c r="P771">
        <v>1</v>
      </c>
      <c r="Q771" t="s">
        <v>90</v>
      </c>
      <c r="R771" t="s">
        <v>111</v>
      </c>
    </row>
    <row r="772" spans="1:18">
      <c r="A772">
        <v>1981</v>
      </c>
      <c r="B772" t="s">
        <v>110</v>
      </c>
      <c r="C772">
        <v>11</v>
      </c>
      <c r="D772">
        <v>11</v>
      </c>
      <c r="E772" t="s">
        <v>95</v>
      </c>
      <c r="F772" t="s">
        <v>90</v>
      </c>
      <c r="G772" t="s">
        <v>15</v>
      </c>
      <c r="H772" t="s">
        <v>91</v>
      </c>
      <c r="I772">
        <v>20</v>
      </c>
      <c r="J772">
        <v>0</v>
      </c>
      <c r="K772">
        <v>8</v>
      </c>
      <c r="L772" t="s">
        <v>116</v>
      </c>
      <c r="M772">
        <v>23</v>
      </c>
      <c r="N772">
        <v>1</v>
      </c>
      <c r="O772" t="s">
        <v>15</v>
      </c>
      <c r="P772">
        <v>1</v>
      </c>
      <c r="Q772" t="s">
        <v>90</v>
      </c>
      <c r="R772" t="s">
        <v>111</v>
      </c>
    </row>
    <row r="773" spans="1:18">
      <c r="A773">
        <v>1982</v>
      </c>
      <c r="B773" t="s">
        <v>110</v>
      </c>
      <c r="C773">
        <v>12</v>
      </c>
      <c r="D773">
        <v>11</v>
      </c>
      <c r="E773" t="s">
        <v>95</v>
      </c>
      <c r="F773" t="s">
        <v>90</v>
      </c>
      <c r="G773" t="s">
        <v>15</v>
      </c>
      <c r="H773" t="s">
        <v>91</v>
      </c>
      <c r="I773">
        <v>20</v>
      </c>
      <c r="J773">
        <v>0</v>
      </c>
      <c r="K773">
        <v>8</v>
      </c>
      <c r="L773" t="s">
        <v>116</v>
      </c>
      <c r="M773">
        <v>23</v>
      </c>
      <c r="N773">
        <v>1</v>
      </c>
      <c r="O773" t="s">
        <v>15</v>
      </c>
      <c r="P773">
        <v>1</v>
      </c>
      <c r="Q773" t="s">
        <v>90</v>
      </c>
      <c r="R773" t="s">
        <v>111</v>
      </c>
    </row>
    <row r="774" spans="1:18">
      <c r="A774">
        <v>1983</v>
      </c>
      <c r="B774" t="s">
        <v>110</v>
      </c>
      <c r="C774">
        <v>13</v>
      </c>
      <c r="D774">
        <v>11</v>
      </c>
      <c r="E774" t="s">
        <v>95</v>
      </c>
      <c r="F774" t="s">
        <v>90</v>
      </c>
      <c r="G774" t="s">
        <v>15</v>
      </c>
      <c r="H774" t="s">
        <v>91</v>
      </c>
      <c r="I774">
        <v>20</v>
      </c>
      <c r="J774">
        <v>0</v>
      </c>
      <c r="K774">
        <v>8</v>
      </c>
      <c r="L774" t="s">
        <v>116</v>
      </c>
      <c r="M774">
        <v>23</v>
      </c>
      <c r="N774">
        <v>1</v>
      </c>
      <c r="O774" t="s">
        <v>15</v>
      </c>
      <c r="P774">
        <v>1</v>
      </c>
      <c r="Q774" t="s">
        <v>90</v>
      </c>
      <c r="R774" t="s">
        <v>111</v>
      </c>
    </row>
    <row r="775" spans="1:18">
      <c r="A775">
        <v>1984</v>
      </c>
      <c r="B775" t="s">
        <v>110</v>
      </c>
      <c r="C775">
        <v>14</v>
      </c>
      <c r="D775">
        <v>11</v>
      </c>
      <c r="E775" t="s">
        <v>95</v>
      </c>
      <c r="F775" t="s">
        <v>90</v>
      </c>
      <c r="G775" t="s">
        <v>15</v>
      </c>
      <c r="H775" t="s">
        <v>91</v>
      </c>
      <c r="I775">
        <v>20</v>
      </c>
      <c r="J775">
        <v>0</v>
      </c>
      <c r="K775">
        <v>8</v>
      </c>
      <c r="L775" t="s">
        <v>116</v>
      </c>
      <c r="M775">
        <v>23</v>
      </c>
      <c r="N775">
        <v>1</v>
      </c>
      <c r="O775" t="s">
        <v>15</v>
      </c>
      <c r="P775">
        <v>1</v>
      </c>
      <c r="Q775" t="s">
        <v>90</v>
      </c>
      <c r="R775" t="s">
        <v>111</v>
      </c>
    </row>
    <row r="776" spans="1:18">
      <c r="A776">
        <v>1985</v>
      </c>
      <c r="B776" t="s">
        <v>110</v>
      </c>
      <c r="C776">
        <v>15</v>
      </c>
      <c r="D776">
        <v>11</v>
      </c>
      <c r="E776" t="s">
        <v>95</v>
      </c>
      <c r="F776" t="s">
        <v>90</v>
      </c>
      <c r="G776" t="s">
        <v>15</v>
      </c>
      <c r="H776" t="s">
        <v>91</v>
      </c>
      <c r="I776">
        <v>20</v>
      </c>
      <c r="J776">
        <v>0</v>
      </c>
      <c r="K776">
        <v>8</v>
      </c>
      <c r="L776" t="s">
        <v>116</v>
      </c>
      <c r="M776">
        <v>23</v>
      </c>
      <c r="N776">
        <v>1</v>
      </c>
      <c r="O776" t="s">
        <v>15</v>
      </c>
      <c r="P776">
        <v>1</v>
      </c>
      <c r="Q776" t="s">
        <v>90</v>
      </c>
      <c r="R776" t="s">
        <v>111</v>
      </c>
    </row>
    <row r="777" spans="1:18">
      <c r="A777">
        <v>1986</v>
      </c>
      <c r="B777" t="s">
        <v>110</v>
      </c>
      <c r="C777">
        <v>16</v>
      </c>
      <c r="D777">
        <v>11</v>
      </c>
      <c r="E777" t="s">
        <v>95</v>
      </c>
      <c r="F777" t="s">
        <v>90</v>
      </c>
      <c r="G777" t="s">
        <v>15</v>
      </c>
      <c r="H777" t="s">
        <v>91</v>
      </c>
      <c r="I777">
        <v>20</v>
      </c>
      <c r="J777">
        <v>0</v>
      </c>
      <c r="K777">
        <v>8</v>
      </c>
      <c r="L777" t="s">
        <v>116</v>
      </c>
      <c r="M777">
        <v>23</v>
      </c>
      <c r="N777">
        <v>1</v>
      </c>
      <c r="O777" t="s">
        <v>15</v>
      </c>
      <c r="P777">
        <v>1</v>
      </c>
      <c r="Q777" t="s">
        <v>90</v>
      </c>
      <c r="R777" t="s">
        <v>111</v>
      </c>
    </row>
    <row r="778" spans="1:18">
      <c r="A778">
        <v>1987</v>
      </c>
      <c r="B778" t="s">
        <v>110</v>
      </c>
      <c r="C778">
        <v>17</v>
      </c>
      <c r="D778">
        <v>11</v>
      </c>
      <c r="E778" t="s">
        <v>95</v>
      </c>
      <c r="F778" t="s">
        <v>90</v>
      </c>
      <c r="G778" t="s">
        <v>15</v>
      </c>
      <c r="H778" t="s">
        <v>91</v>
      </c>
      <c r="I778">
        <v>20</v>
      </c>
      <c r="J778">
        <v>0</v>
      </c>
      <c r="K778">
        <v>8</v>
      </c>
      <c r="L778" t="s">
        <v>116</v>
      </c>
      <c r="M778">
        <v>23</v>
      </c>
      <c r="N778">
        <v>1</v>
      </c>
      <c r="O778" t="s">
        <v>15</v>
      </c>
      <c r="P778">
        <v>1</v>
      </c>
      <c r="Q778" t="s">
        <v>90</v>
      </c>
      <c r="R778" t="s">
        <v>111</v>
      </c>
    </row>
    <row r="779" spans="1:18">
      <c r="A779">
        <v>1988</v>
      </c>
      <c r="B779" t="s">
        <v>110</v>
      </c>
      <c r="C779">
        <v>18</v>
      </c>
      <c r="D779">
        <v>11</v>
      </c>
      <c r="E779" t="s">
        <v>95</v>
      </c>
      <c r="F779" t="s">
        <v>90</v>
      </c>
      <c r="G779" t="s">
        <v>15</v>
      </c>
      <c r="H779" t="s">
        <v>91</v>
      </c>
      <c r="I779">
        <v>20</v>
      </c>
      <c r="J779">
        <v>0</v>
      </c>
      <c r="K779">
        <v>8</v>
      </c>
      <c r="L779" t="s">
        <v>116</v>
      </c>
      <c r="M779">
        <v>23</v>
      </c>
      <c r="N779">
        <v>1</v>
      </c>
      <c r="O779" t="s">
        <v>15</v>
      </c>
      <c r="P779">
        <v>1</v>
      </c>
      <c r="Q779" t="s">
        <v>90</v>
      </c>
      <c r="R779" t="s">
        <v>111</v>
      </c>
    </row>
    <row r="780" spans="1:18">
      <c r="A780">
        <v>1989</v>
      </c>
      <c r="B780" t="s">
        <v>110</v>
      </c>
      <c r="C780">
        <v>19</v>
      </c>
      <c r="D780">
        <v>11</v>
      </c>
      <c r="E780" t="s">
        <v>95</v>
      </c>
      <c r="F780" t="s">
        <v>90</v>
      </c>
      <c r="G780" t="s">
        <v>15</v>
      </c>
      <c r="H780" t="s">
        <v>91</v>
      </c>
      <c r="I780">
        <v>20</v>
      </c>
      <c r="J780">
        <v>0</v>
      </c>
      <c r="K780">
        <v>8</v>
      </c>
      <c r="L780" t="s">
        <v>116</v>
      </c>
      <c r="M780">
        <v>23</v>
      </c>
      <c r="N780">
        <v>1</v>
      </c>
      <c r="O780" t="s">
        <v>15</v>
      </c>
      <c r="P780">
        <v>1</v>
      </c>
      <c r="Q780" t="s">
        <v>90</v>
      </c>
      <c r="R780" t="s">
        <v>111</v>
      </c>
    </row>
    <row r="781" spans="1:18">
      <c r="A781">
        <v>1990</v>
      </c>
      <c r="B781" t="s">
        <v>110</v>
      </c>
      <c r="C781">
        <v>20</v>
      </c>
      <c r="D781">
        <v>11</v>
      </c>
      <c r="E781" t="s">
        <v>95</v>
      </c>
      <c r="F781" t="s">
        <v>90</v>
      </c>
      <c r="G781" t="s">
        <v>15</v>
      </c>
      <c r="H781" t="s">
        <v>91</v>
      </c>
      <c r="I781">
        <v>20</v>
      </c>
      <c r="J781">
        <v>0</v>
      </c>
      <c r="K781">
        <v>8</v>
      </c>
      <c r="L781" t="s">
        <v>116</v>
      </c>
      <c r="M781">
        <v>23</v>
      </c>
      <c r="N781">
        <v>1</v>
      </c>
      <c r="O781" t="s">
        <v>15</v>
      </c>
      <c r="P781">
        <v>1</v>
      </c>
      <c r="Q781" t="s">
        <v>90</v>
      </c>
      <c r="R781" t="s">
        <v>111</v>
      </c>
    </row>
    <row r="782" spans="1:18">
      <c r="A782">
        <v>1991</v>
      </c>
      <c r="B782" t="s">
        <v>110</v>
      </c>
      <c r="C782">
        <v>21</v>
      </c>
      <c r="D782">
        <v>9</v>
      </c>
      <c r="E782" t="s">
        <v>89</v>
      </c>
      <c r="F782" t="s">
        <v>90</v>
      </c>
      <c r="G782" t="s">
        <v>15</v>
      </c>
      <c r="H782" t="s">
        <v>91</v>
      </c>
      <c r="I782">
        <v>20</v>
      </c>
      <c r="J782">
        <v>0</v>
      </c>
      <c r="K782">
        <v>8</v>
      </c>
      <c r="L782" t="s">
        <v>116</v>
      </c>
      <c r="M782">
        <v>23</v>
      </c>
      <c r="N782">
        <v>1</v>
      </c>
      <c r="O782" t="s">
        <v>15</v>
      </c>
      <c r="P782">
        <v>1</v>
      </c>
      <c r="Q782" t="s">
        <v>90</v>
      </c>
      <c r="R782" t="s">
        <v>111</v>
      </c>
    </row>
    <row r="783" spans="1:18">
      <c r="A783">
        <v>1992</v>
      </c>
      <c r="B783" t="s">
        <v>110</v>
      </c>
      <c r="C783">
        <v>22</v>
      </c>
      <c r="D783">
        <v>10</v>
      </c>
      <c r="E783" t="s">
        <v>94</v>
      </c>
      <c r="F783" t="s">
        <v>90</v>
      </c>
      <c r="G783" t="s">
        <v>15</v>
      </c>
      <c r="H783" t="s">
        <v>91</v>
      </c>
      <c r="I783">
        <v>20</v>
      </c>
      <c r="J783">
        <v>0</v>
      </c>
      <c r="K783">
        <v>8</v>
      </c>
      <c r="L783" t="s">
        <v>116</v>
      </c>
      <c r="M783">
        <v>23</v>
      </c>
      <c r="N783">
        <v>1</v>
      </c>
      <c r="O783" t="s">
        <v>15</v>
      </c>
      <c r="P783">
        <v>1</v>
      </c>
      <c r="Q783" t="s">
        <v>90</v>
      </c>
      <c r="R783" t="s">
        <v>111</v>
      </c>
    </row>
    <row r="784" spans="1:18">
      <c r="A784">
        <v>1993</v>
      </c>
      <c r="B784" t="s">
        <v>110</v>
      </c>
      <c r="C784">
        <v>23</v>
      </c>
      <c r="D784">
        <v>9</v>
      </c>
      <c r="E784" t="s">
        <v>89</v>
      </c>
      <c r="F784" t="s">
        <v>90</v>
      </c>
      <c r="G784" t="s">
        <v>15</v>
      </c>
      <c r="H784" t="s">
        <v>91</v>
      </c>
      <c r="I784">
        <v>20</v>
      </c>
      <c r="J784">
        <v>0</v>
      </c>
      <c r="K784">
        <v>8</v>
      </c>
      <c r="L784" t="s">
        <v>116</v>
      </c>
      <c r="M784">
        <v>23</v>
      </c>
      <c r="N784">
        <v>1</v>
      </c>
      <c r="O784" t="s">
        <v>15</v>
      </c>
      <c r="P784">
        <v>1</v>
      </c>
      <c r="Q784" t="s">
        <v>90</v>
      </c>
      <c r="R784" t="s">
        <v>111</v>
      </c>
    </row>
    <row r="785" spans="1:18">
      <c r="A785">
        <v>1994</v>
      </c>
      <c r="B785" t="s">
        <v>110</v>
      </c>
      <c r="C785">
        <v>24</v>
      </c>
      <c r="D785">
        <v>10</v>
      </c>
      <c r="E785" t="s">
        <v>94</v>
      </c>
      <c r="F785" t="s">
        <v>90</v>
      </c>
      <c r="G785" t="s">
        <v>15</v>
      </c>
      <c r="H785" t="s">
        <v>91</v>
      </c>
      <c r="I785">
        <v>20</v>
      </c>
      <c r="J785">
        <v>0</v>
      </c>
      <c r="K785">
        <v>8</v>
      </c>
      <c r="L785" t="s">
        <v>116</v>
      </c>
      <c r="M785">
        <v>23</v>
      </c>
      <c r="N785">
        <v>1</v>
      </c>
      <c r="O785" t="s">
        <v>15</v>
      </c>
      <c r="P785">
        <v>1</v>
      </c>
      <c r="Q785" t="s">
        <v>90</v>
      </c>
      <c r="R785" t="s">
        <v>111</v>
      </c>
    </row>
    <row r="786" spans="1:18">
      <c r="A786">
        <v>1995</v>
      </c>
      <c r="B786" t="s">
        <v>110</v>
      </c>
      <c r="C786">
        <v>25</v>
      </c>
      <c r="D786">
        <v>9</v>
      </c>
      <c r="E786" t="s">
        <v>89</v>
      </c>
      <c r="F786" t="s">
        <v>90</v>
      </c>
      <c r="G786" t="s">
        <v>15</v>
      </c>
      <c r="H786" t="s">
        <v>91</v>
      </c>
      <c r="I786">
        <v>20</v>
      </c>
      <c r="J786">
        <v>0</v>
      </c>
      <c r="K786">
        <v>8</v>
      </c>
      <c r="L786" t="s">
        <v>116</v>
      </c>
      <c r="M786">
        <v>23</v>
      </c>
      <c r="N786">
        <v>1</v>
      </c>
      <c r="O786" t="s">
        <v>15</v>
      </c>
      <c r="P786">
        <v>1</v>
      </c>
      <c r="Q786" t="s">
        <v>90</v>
      </c>
      <c r="R786" t="s">
        <v>111</v>
      </c>
    </row>
    <row r="787" spans="1:18">
      <c r="A787">
        <v>1996</v>
      </c>
      <c r="B787" t="s">
        <v>110</v>
      </c>
      <c r="C787">
        <v>26</v>
      </c>
      <c r="D787">
        <v>10</v>
      </c>
      <c r="E787" t="s">
        <v>94</v>
      </c>
      <c r="F787" t="s">
        <v>90</v>
      </c>
      <c r="G787" t="s">
        <v>15</v>
      </c>
      <c r="H787" t="s">
        <v>91</v>
      </c>
      <c r="I787">
        <v>20</v>
      </c>
      <c r="J787">
        <v>0</v>
      </c>
      <c r="K787">
        <v>8</v>
      </c>
      <c r="L787" t="s">
        <v>116</v>
      </c>
      <c r="M787">
        <v>23</v>
      </c>
      <c r="N787">
        <v>1</v>
      </c>
      <c r="O787" t="s">
        <v>15</v>
      </c>
      <c r="P787">
        <v>1</v>
      </c>
      <c r="Q787" t="s">
        <v>90</v>
      </c>
      <c r="R787" t="s">
        <v>111</v>
      </c>
    </row>
    <row r="788" spans="1:18">
      <c r="A788">
        <v>1997</v>
      </c>
      <c r="B788" t="s">
        <v>110</v>
      </c>
      <c r="C788">
        <v>27</v>
      </c>
      <c r="D788">
        <v>9</v>
      </c>
      <c r="E788" t="s">
        <v>89</v>
      </c>
      <c r="F788" t="s">
        <v>90</v>
      </c>
      <c r="G788" t="s">
        <v>15</v>
      </c>
      <c r="H788" t="s">
        <v>91</v>
      </c>
      <c r="I788">
        <v>20</v>
      </c>
      <c r="J788">
        <v>0</v>
      </c>
      <c r="K788">
        <v>8</v>
      </c>
      <c r="L788" t="s">
        <v>116</v>
      </c>
      <c r="M788">
        <v>23</v>
      </c>
      <c r="N788">
        <v>1</v>
      </c>
      <c r="O788" t="s">
        <v>15</v>
      </c>
      <c r="P788">
        <v>1</v>
      </c>
      <c r="Q788" t="s">
        <v>90</v>
      </c>
      <c r="R788" t="s">
        <v>111</v>
      </c>
    </row>
    <row r="789" spans="1:18">
      <c r="A789">
        <v>1998</v>
      </c>
      <c r="B789" t="s">
        <v>110</v>
      </c>
      <c r="C789">
        <v>28</v>
      </c>
      <c r="D789">
        <v>10</v>
      </c>
      <c r="E789" t="s">
        <v>94</v>
      </c>
      <c r="F789" t="s">
        <v>90</v>
      </c>
      <c r="G789" t="s">
        <v>15</v>
      </c>
      <c r="H789" t="s">
        <v>91</v>
      </c>
      <c r="I789">
        <v>20</v>
      </c>
      <c r="J789">
        <v>0</v>
      </c>
      <c r="K789">
        <v>8</v>
      </c>
      <c r="L789" t="s">
        <v>116</v>
      </c>
      <c r="M789">
        <v>23</v>
      </c>
      <c r="N789">
        <v>1</v>
      </c>
      <c r="O789" t="s">
        <v>15</v>
      </c>
      <c r="P789">
        <v>1</v>
      </c>
      <c r="Q789" t="s">
        <v>90</v>
      </c>
      <c r="R789" t="s">
        <v>111</v>
      </c>
    </row>
    <row r="790" spans="1:18">
      <c r="A790">
        <v>1999</v>
      </c>
      <c r="B790" t="s">
        <v>110</v>
      </c>
      <c r="C790">
        <v>29</v>
      </c>
      <c r="D790">
        <v>9</v>
      </c>
      <c r="E790" t="s">
        <v>89</v>
      </c>
      <c r="F790" t="s">
        <v>90</v>
      </c>
      <c r="G790" t="s">
        <v>15</v>
      </c>
      <c r="H790" t="s">
        <v>91</v>
      </c>
      <c r="I790">
        <v>20</v>
      </c>
      <c r="J790">
        <v>0</v>
      </c>
      <c r="K790">
        <v>8</v>
      </c>
      <c r="L790" t="s">
        <v>116</v>
      </c>
      <c r="M790">
        <v>23</v>
      </c>
      <c r="N790">
        <v>1</v>
      </c>
      <c r="O790" t="s">
        <v>15</v>
      </c>
      <c r="P790">
        <v>1</v>
      </c>
      <c r="Q790" t="s">
        <v>90</v>
      </c>
      <c r="R790" t="s">
        <v>111</v>
      </c>
    </row>
    <row r="791" spans="1:18">
      <c r="A791">
        <v>2000</v>
      </c>
      <c r="B791" t="s">
        <v>110</v>
      </c>
      <c r="C791">
        <v>30</v>
      </c>
      <c r="D791">
        <v>10</v>
      </c>
      <c r="E791" t="s">
        <v>94</v>
      </c>
      <c r="F791" t="s">
        <v>90</v>
      </c>
      <c r="G791" t="s">
        <v>15</v>
      </c>
      <c r="H791" t="s">
        <v>91</v>
      </c>
      <c r="I791">
        <v>20</v>
      </c>
      <c r="J791">
        <v>0</v>
      </c>
      <c r="K791">
        <v>8</v>
      </c>
      <c r="L791" t="s">
        <v>116</v>
      </c>
      <c r="M791">
        <v>23</v>
      </c>
      <c r="N791">
        <v>1</v>
      </c>
      <c r="O791" t="s">
        <v>15</v>
      </c>
      <c r="P791">
        <v>1</v>
      </c>
      <c r="Q791" t="s">
        <v>90</v>
      </c>
      <c r="R791" t="s">
        <v>111</v>
      </c>
    </row>
    <row r="792" spans="1:18">
      <c r="A792">
        <v>2001</v>
      </c>
      <c r="B792" t="s">
        <v>110</v>
      </c>
      <c r="C792">
        <v>31</v>
      </c>
      <c r="D792">
        <v>12</v>
      </c>
      <c r="E792" t="s">
        <v>96</v>
      </c>
      <c r="F792" t="s">
        <v>90</v>
      </c>
      <c r="G792" t="s">
        <v>15</v>
      </c>
      <c r="H792" t="s">
        <v>91</v>
      </c>
      <c r="I792">
        <v>20</v>
      </c>
      <c r="J792">
        <v>0</v>
      </c>
      <c r="K792">
        <v>8</v>
      </c>
      <c r="L792" t="s">
        <v>116</v>
      </c>
      <c r="M792">
        <v>23</v>
      </c>
      <c r="N792">
        <v>1</v>
      </c>
      <c r="O792" t="s">
        <v>15</v>
      </c>
      <c r="P792">
        <v>1</v>
      </c>
      <c r="Q792" t="s">
        <v>90</v>
      </c>
      <c r="R792" t="s">
        <v>111</v>
      </c>
    </row>
    <row r="793" spans="1:18">
      <c r="A793">
        <v>2002</v>
      </c>
      <c r="B793" t="s">
        <v>110</v>
      </c>
      <c r="C793">
        <v>32</v>
      </c>
      <c r="D793">
        <v>12</v>
      </c>
      <c r="E793" t="s">
        <v>96</v>
      </c>
      <c r="F793" t="s">
        <v>90</v>
      </c>
      <c r="G793" t="s">
        <v>15</v>
      </c>
      <c r="H793" t="s">
        <v>91</v>
      </c>
      <c r="I793">
        <v>20</v>
      </c>
      <c r="J793">
        <v>0</v>
      </c>
      <c r="K793">
        <v>8</v>
      </c>
      <c r="L793" t="s">
        <v>116</v>
      </c>
      <c r="M793">
        <v>23</v>
      </c>
      <c r="N793">
        <v>1</v>
      </c>
      <c r="O793" t="s">
        <v>15</v>
      </c>
      <c r="P793">
        <v>1</v>
      </c>
      <c r="Q793" t="s">
        <v>90</v>
      </c>
      <c r="R793" t="s">
        <v>111</v>
      </c>
    </row>
    <row r="794" spans="1:18">
      <c r="A794">
        <v>2003</v>
      </c>
      <c r="B794" t="s">
        <v>110</v>
      </c>
      <c r="C794">
        <v>33</v>
      </c>
      <c r="D794">
        <v>12</v>
      </c>
      <c r="E794" t="s">
        <v>96</v>
      </c>
      <c r="F794" t="s">
        <v>90</v>
      </c>
      <c r="G794" t="s">
        <v>15</v>
      </c>
      <c r="H794" t="s">
        <v>91</v>
      </c>
      <c r="I794">
        <v>20</v>
      </c>
      <c r="J794">
        <v>0</v>
      </c>
      <c r="K794">
        <v>8</v>
      </c>
      <c r="L794" t="s">
        <v>116</v>
      </c>
      <c r="M794">
        <v>23</v>
      </c>
      <c r="N794">
        <v>1</v>
      </c>
      <c r="O794" t="s">
        <v>15</v>
      </c>
      <c r="P794">
        <v>1</v>
      </c>
      <c r="Q794" t="s">
        <v>90</v>
      </c>
      <c r="R794" t="s">
        <v>111</v>
      </c>
    </row>
    <row r="795" spans="1:18">
      <c r="A795">
        <v>2004</v>
      </c>
      <c r="B795" t="s">
        <v>110</v>
      </c>
      <c r="C795">
        <v>34</v>
      </c>
      <c r="D795">
        <v>12</v>
      </c>
      <c r="E795" t="s">
        <v>96</v>
      </c>
      <c r="F795" t="s">
        <v>90</v>
      </c>
      <c r="G795" t="s">
        <v>15</v>
      </c>
      <c r="H795" t="s">
        <v>91</v>
      </c>
      <c r="I795">
        <v>20</v>
      </c>
      <c r="J795">
        <v>0</v>
      </c>
      <c r="K795">
        <v>8</v>
      </c>
      <c r="L795" t="s">
        <v>116</v>
      </c>
      <c r="M795">
        <v>23</v>
      </c>
      <c r="N795">
        <v>1</v>
      </c>
      <c r="O795" t="s">
        <v>15</v>
      </c>
      <c r="P795">
        <v>1</v>
      </c>
      <c r="Q795" t="s">
        <v>90</v>
      </c>
      <c r="R795" t="s">
        <v>111</v>
      </c>
    </row>
    <row r="796" spans="1:18">
      <c r="A796">
        <v>2005</v>
      </c>
      <c r="B796" t="s">
        <v>110</v>
      </c>
      <c r="C796">
        <v>35</v>
      </c>
      <c r="D796">
        <v>12</v>
      </c>
      <c r="E796" t="s">
        <v>96</v>
      </c>
      <c r="F796" t="s">
        <v>90</v>
      </c>
      <c r="G796" t="s">
        <v>15</v>
      </c>
      <c r="H796" t="s">
        <v>91</v>
      </c>
      <c r="I796">
        <v>20</v>
      </c>
      <c r="J796">
        <v>0</v>
      </c>
      <c r="K796">
        <v>8</v>
      </c>
      <c r="L796" t="s">
        <v>116</v>
      </c>
      <c r="M796">
        <v>23</v>
      </c>
      <c r="N796">
        <v>1</v>
      </c>
      <c r="O796" t="s">
        <v>15</v>
      </c>
      <c r="P796">
        <v>1</v>
      </c>
      <c r="Q796" t="s">
        <v>90</v>
      </c>
      <c r="R796" t="s">
        <v>111</v>
      </c>
    </row>
    <row r="797" spans="1:18">
      <c r="A797">
        <v>2006</v>
      </c>
      <c r="B797" t="s">
        <v>110</v>
      </c>
      <c r="C797">
        <v>36</v>
      </c>
      <c r="D797">
        <v>12</v>
      </c>
      <c r="E797" t="s">
        <v>96</v>
      </c>
      <c r="F797" t="s">
        <v>90</v>
      </c>
      <c r="G797" t="s">
        <v>15</v>
      </c>
      <c r="H797" t="s">
        <v>91</v>
      </c>
      <c r="I797">
        <v>20</v>
      </c>
      <c r="J797">
        <v>0</v>
      </c>
      <c r="K797">
        <v>8</v>
      </c>
      <c r="L797" t="s">
        <v>116</v>
      </c>
      <c r="M797">
        <v>23</v>
      </c>
      <c r="N797">
        <v>1</v>
      </c>
      <c r="O797" t="s">
        <v>15</v>
      </c>
      <c r="P797">
        <v>1</v>
      </c>
      <c r="Q797" t="s">
        <v>90</v>
      </c>
      <c r="R797" t="s">
        <v>111</v>
      </c>
    </row>
    <row r="798" spans="1:18">
      <c r="A798">
        <v>2007</v>
      </c>
      <c r="B798" t="s">
        <v>110</v>
      </c>
      <c r="C798">
        <v>37</v>
      </c>
      <c r="D798">
        <v>12</v>
      </c>
      <c r="E798" t="s">
        <v>96</v>
      </c>
      <c r="F798" t="s">
        <v>90</v>
      </c>
      <c r="G798" t="s">
        <v>15</v>
      </c>
      <c r="H798" t="s">
        <v>91</v>
      </c>
      <c r="I798">
        <v>20</v>
      </c>
      <c r="J798">
        <v>0</v>
      </c>
      <c r="K798">
        <v>8</v>
      </c>
      <c r="L798" t="s">
        <v>116</v>
      </c>
      <c r="M798">
        <v>23</v>
      </c>
      <c r="N798">
        <v>1</v>
      </c>
      <c r="O798" t="s">
        <v>15</v>
      </c>
      <c r="P798">
        <v>1</v>
      </c>
      <c r="Q798" t="s">
        <v>90</v>
      </c>
      <c r="R798" t="s">
        <v>111</v>
      </c>
    </row>
    <row r="799" spans="1:18">
      <c r="A799">
        <v>2008</v>
      </c>
      <c r="B799" t="s">
        <v>110</v>
      </c>
      <c r="C799">
        <v>38</v>
      </c>
      <c r="D799">
        <v>12</v>
      </c>
      <c r="E799" t="s">
        <v>96</v>
      </c>
      <c r="F799" t="s">
        <v>90</v>
      </c>
      <c r="G799" t="s">
        <v>15</v>
      </c>
      <c r="H799" t="s">
        <v>91</v>
      </c>
      <c r="I799">
        <v>20</v>
      </c>
      <c r="J799">
        <v>0</v>
      </c>
      <c r="K799">
        <v>8</v>
      </c>
      <c r="L799" t="s">
        <v>116</v>
      </c>
      <c r="M799">
        <v>23</v>
      </c>
      <c r="N799">
        <v>1</v>
      </c>
      <c r="O799" t="s">
        <v>15</v>
      </c>
      <c r="P799">
        <v>1</v>
      </c>
      <c r="Q799" t="s">
        <v>90</v>
      </c>
      <c r="R799" t="s">
        <v>111</v>
      </c>
    </row>
    <row r="800" spans="1:18">
      <c r="A800">
        <v>2009</v>
      </c>
      <c r="B800" t="s">
        <v>110</v>
      </c>
      <c r="C800">
        <v>39</v>
      </c>
      <c r="D800">
        <v>12</v>
      </c>
      <c r="E800" t="s">
        <v>96</v>
      </c>
      <c r="F800" t="s">
        <v>90</v>
      </c>
      <c r="G800" t="s">
        <v>15</v>
      </c>
      <c r="H800" t="s">
        <v>91</v>
      </c>
      <c r="I800">
        <v>20</v>
      </c>
      <c r="J800">
        <v>0</v>
      </c>
      <c r="K800">
        <v>8</v>
      </c>
      <c r="L800" t="s">
        <v>116</v>
      </c>
      <c r="M800">
        <v>23</v>
      </c>
      <c r="N800">
        <v>1</v>
      </c>
      <c r="O800" t="s">
        <v>15</v>
      </c>
      <c r="P800">
        <v>1</v>
      </c>
      <c r="Q800" t="s">
        <v>90</v>
      </c>
      <c r="R800" t="s">
        <v>111</v>
      </c>
    </row>
    <row r="801" spans="1:18">
      <c r="A801">
        <v>2010</v>
      </c>
      <c r="B801" t="s">
        <v>110</v>
      </c>
      <c r="C801">
        <v>40</v>
      </c>
      <c r="D801">
        <v>12</v>
      </c>
      <c r="E801" t="s">
        <v>96</v>
      </c>
      <c r="F801" t="s">
        <v>90</v>
      </c>
      <c r="G801" t="s">
        <v>15</v>
      </c>
      <c r="H801" t="s">
        <v>91</v>
      </c>
      <c r="I801">
        <v>20</v>
      </c>
      <c r="J801">
        <v>0</v>
      </c>
      <c r="K801">
        <v>8</v>
      </c>
      <c r="L801" t="s">
        <v>116</v>
      </c>
      <c r="M801">
        <v>23</v>
      </c>
      <c r="N801">
        <v>1</v>
      </c>
      <c r="O801" t="s">
        <v>15</v>
      </c>
      <c r="P801">
        <v>1</v>
      </c>
      <c r="Q801" t="s">
        <v>90</v>
      </c>
      <c r="R801" t="s">
        <v>111</v>
      </c>
    </row>
    <row r="802" spans="1:18">
      <c r="A802">
        <v>2011</v>
      </c>
      <c r="B802" t="s">
        <v>112</v>
      </c>
      <c r="C802">
        <v>1</v>
      </c>
      <c r="D802">
        <v>9</v>
      </c>
      <c r="E802" t="s">
        <v>89</v>
      </c>
      <c r="F802" t="s">
        <v>90</v>
      </c>
      <c r="G802" t="s">
        <v>15</v>
      </c>
      <c r="H802" t="s">
        <v>91</v>
      </c>
      <c r="I802">
        <v>20</v>
      </c>
      <c r="J802">
        <v>0</v>
      </c>
      <c r="K802">
        <v>8</v>
      </c>
      <c r="L802" t="s">
        <v>116</v>
      </c>
      <c r="M802">
        <v>24</v>
      </c>
      <c r="N802">
        <v>1</v>
      </c>
      <c r="O802" t="s">
        <v>15</v>
      </c>
      <c r="P802">
        <v>1</v>
      </c>
      <c r="Q802" t="s">
        <v>90</v>
      </c>
      <c r="R802" t="s">
        <v>113</v>
      </c>
    </row>
    <row r="803" spans="1:18">
      <c r="A803">
        <v>2012</v>
      </c>
      <c r="B803" t="s">
        <v>112</v>
      </c>
      <c r="C803">
        <v>2</v>
      </c>
      <c r="D803">
        <v>10</v>
      </c>
      <c r="E803" t="s">
        <v>94</v>
      </c>
      <c r="F803" t="s">
        <v>90</v>
      </c>
      <c r="G803" t="s">
        <v>15</v>
      </c>
      <c r="H803" t="s">
        <v>91</v>
      </c>
      <c r="I803">
        <v>20</v>
      </c>
      <c r="J803">
        <v>0</v>
      </c>
      <c r="K803">
        <v>8</v>
      </c>
      <c r="L803" t="s">
        <v>116</v>
      </c>
      <c r="M803">
        <v>24</v>
      </c>
      <c r="N803">
        <v>1</v>
      </c>
      <c r="O803" t="s">
        <v>15</v>
      </c>
      <c r="P803">
        <v>1</v>
      </c>
      <c r="Q803" t="s">
        <v>90</v>
      </c>
      <c r="R803" t="s">
        <v>113</v>
      </c>
    </row>
    <row r="804" spans="1:18">
      <c r="A804">
        <v>2013</v>
      </c>
      <c r="B804" t="s">
        <v>112</v>
      </c>
      <c r="C804">
        <v>3</v>
      </c>
      <c r="D804">
        <v>9</v>
      </c>
      <c r="E804" t="s">
        <v>89</v>
      </c>
      <c r="F804" t="s">
        <v>90</v>
      </c>
      <c r="G804" t="s">
        <v>15</v>
      </c>
      <c r="H804" t="s">
        <v>91</v>
      </c>
      <c r="I804">
        <v>20</v>
      </c>
      <c r="J804">
        <v>0</v>
      </c>
      <c r="K804">
        <v>8</v>
      </c>
      <c r="L804" t="s">
        <v>116</v>
      </c>
      <c r="M804">
        <v>24</v>
      </c>
      <c r="N804">
        <v>1</v>
      </c>
      <c r="O804" t="s">
        <v>15</v>
      </c>
      <c r="P804">
        <v>1</v>
      </c>
      <c r="Q804" t="s">
        <v>90</v>
      </c>
      <c r="R804" t="s">
        <v>113</v>
      </c>
    </row>
    <row r="805" spans="1:18">
      <c r="A805">
        <v>2014</v>
      </c>
      <c r="B805" t="s">
        <v>112</v>
      </c>
      <c r="C805">
        <v>4</v>
      </c>
      <c r="D805">
        <v>9</v>
      </c>
      <c r="E805" t="s">
        <v>89</v>
      </c>
      <c r="F805" t="s">
        <v>90</v>
      </c>
      <c r="G805" t="s">
        <v>15</v>
      </c>
      <c r="H805" t="s">
        <v>91</v>
      </c>
      <c r="I805">
        <v>20</v>
      </c>
      <c r="J805">
        <v>0</v>
      </c>
      <c r="K805">
        <v>8</v>
      </c>
      <c r="L805" t="s">
        <v>116</v>
      </c>
      <c r="M805">
        <v>24</v>
      </c>
      <c r="N805">
        <v>1</v>
      </c>
      <c r="O805" t="s">
        <v>15</v>
      </c>
      <c r="P805">
        <v>1</v>
      </c>
      <c r="Q805" t="s">
        <v>90</v>
      </c>
      <c r="R805" t="s">
        <v>113</v>
      </c>
    </row>
    <row r="806" spans="1:18">
      <c r="A806">
        <v>2015</v>
      </c>
      <c r="B806" t="s">
        <v>112</v>
      </c>
      <c r="C806">
        <v>5</v>
      </c>
      <c r="D806">
        <v>9</v>
      </c>
      <c r="E806" t="s">
        <v>89</v>
      </c>
      <c r="F806" t="s">
        <v>90</v>
      </c>
      <c r="G806" t="s">
        <v>15</v>
      </c>
      <c r="H806" t="s">
        <v>91</v>
      </c>
      <c r="I806">
        <v>20</v>
      </c>
      <c r="J806">
        <v>0</v>
      </c>
      <c r="K806">
        <v>8</v>
      </c>
      <c r="L806" t="s">
        <v>116</v>
      </c>
      <c r="M806">
        <v>24</v>
      </c>
      <c r="N806">
        <v>1</v>
      </c>
      <c r="O806" t="s">
        <v>15</v>
      </c>
      <c r="P806">
        <v>1</v>
      </c>
      <c r="Q806" t="s">
        <v>90</v>
      </c>
      <c r="R806" t="s">
        <v>113</v>
      </c>
    </row>
    <row r="807" spans="1:18">
      <c r="A807">
        <v>2016</v>
      </c>
      <c r="B807" t="s">
        <v>112</v>
      </c>
      <c r="C807">
        <v>6</v>
      </c>
      <c r="D807">
        <v>10</v>
      </c>
      <c r="E807" t="s">
        <v>94</v>
      </c>
      <c r="F807" t="s">
        <v>90</v>
      </c>
      <c r="G807" t="s">
        <v>15</v>
      </c>
      <c r="H807" t="s">
        <v>91</v>
      </c>
      <c r="I807">
        <v>20</v>
      </c>
      <c r="J807">
        <v>0</v>
      </c>
      <c r="K807">
        <v>8</v>
      </c>
      <c r="L807" t="s">
        <v>116</v>
      </c>
      <c r="M807">
        <v>24</v>
      </c>
      <c r="N807">
        <v>1</v>
      </c>
      <c r="O807" t="s">
        <v>15</v>
      </c>
      <c r="P807">
        <v>1</v>
      </c>
      <c r="Q807" t="s">
        <v>90</v>
      </c>
      <c r="R807" t="s">
        <v>113</v>
      </c>
    </row>
    <row r="808" spans="1:18">
      <c r="A808">
        <v>2017</v>
      </c>
      <c r="B808" t="s">
        <v>112</v>
      </c>
      <c r="C808">
        <v>7</v>
      </c>
      <c r="D808">
        <v>10</v>
      </c>
      <c r="E808" t="s">
        <v>94</v>
      </c>
      <c r="F808" t="s">
        <v>90</v>
      </c>
      <c r="G808" t="s">
        <v>15</v>
      </c>
      <c r="H808" t="s">
        <v>91</v>
      </c>
      <c r="I808">
        <v>20</v>
      </c>
      <c r="J808">
        <v>0</v>
      </c>
      <c r="K808">
        <v>8</v>
      </c>
      <c r="L808" t="s">
        <v>116</v>
      </c>
      <c r="M808">
        <v>24</v>
      </c>
      <c r="N808">
        <v>1</v>
      </c>
      <c r="O808" t="s">
        <v>15</v>
      </c>
      <c r="P808">
        <v>1</v>
      </c>
      <c r="Q808" t="s">
        <v>90</v>
      </c>
      <c r="R808" t="s">
        <v>113</v>
      </c>
    </row>
    <row r="809" spans="1:18">
      <c r="A809">
        <v>2018</v>
      </c>
      <c r="B809" t="s">
        <v>112</v>
      </c>
      <c r="C809">
        <v>8</v>
      </c>
      <c r="D809">
        <v>10</v>
      </c>
      <c r="E809" t="s">
        <v>94</v>
      </c>
      <c r="F809" t="s">
        <v>90</v>
      </c>
      <c r="G809" t="s">
        <v>15</v>
      </c>
      <c r="H809" t="s">
        <v>91</v>
      </c>
      <c r="I809">
        <v>20</v>
      </c>
      <c r="J809">
        <v>0</v>
      </c>
      <c r="K809">
        <v>8</v>
      </c>
      <c r="L809" t="s">
        <v>116</v>
      </c>
      <c r="M809">
        <v>24</v>
      </c>
      <c r="N809">
        <v>1</v>
      </c>
      <c r="O809" t="s">
        <v>15</v>
      </c>
      <c r="P809">
        <v>1</v>
      </c>
      <c r="Q809" t="s">
        <v>90</v>
      </c>
      <c r="R809" t="s">
        <v>113</v>
      </c>
    </row>
    <row r="810" spans="1:18">
      <c r="A810">
        <v>2019</v>
      </c>
      <c r="B810" t="s">
        <v>112</v>
      </c>
      <c r="C810">
        <v>9</v>
      </c>
      <c r="D810">
        <v>10</v>
      </c>
      <c r="E810" t="s">
        <v>94</v>
      </c>
      <c r="F810" t="s">
        <v>90</v>
      </c>
      <c r="G810" t="s">
        <v>15</v>
      </c>
      <c r="H810" t="s">
        <v>91</v>
      </c>
      <c r="I810">
        <v>20</v>
      </c>
      <c r="J810">
        <v>0</v>
      </c>
      <c r="K810">
        <v>8</v>
      </c>
      <c r="L810" t="s">
        <v>116</v>
      </c>
      <c r="M810">
        <v>24</v>
      </c>
      <c r="N810">
        <v>1</v>
      </c>
      <c r="O810" t="s">
        <v>15</v>
      </c>
      <c r="P810">
        <v>1</v>
      </c>
      <c r="Q810" t="s">
        <v>90</v>
      </c>
      <c r="R810" t="s">
        <v>113</v>
      </c>
    </row>
    <row r="811" spans="1:18">
      <c r="A811">
        <v>2020</v>
      </c>
      <c r="B811" t="s">
        <v>112</v>
      </c>
      <c r="C811">
        <v>10</v>
      </c>
      <c r="D811">
        <v>9</v>
      </c>
      <c r="E811" t="s">
        <v>89</v>
      </c>
      <c r="F811" t="s">
        <v>90</v>
      </c>
      <c r="G811" t="s">
        <v>15</v>
      </c>
      <c r="H811" t="s">
        <v>91</v>
      </c>
      <c r="I811">
        <v>20</v>
      </c>
      <c r="J811">
        <v>0</v>
      </c>
      <c r="K811">
        <v>8</v>
      </c>
      <c r="L811" t="s">
        <v>116</v>
      </c>
      <c r="M811">
        <v>24</v>
      </c>
      <c r="N811">
        <v>1</v>
      </c>
      <c r="O811" t="s">
        <v>15</v>
      </c>
      <c r="P811">
        <v>1</v>
      </c>
      <c r="Q811" t="s">
        <v>90</v>
      </c>
      <c r="R811" t="s">
        <v>113</v>
      </c>
    </row>
    <row r="812" spans="1:18">
      <c r="A812">
        <v>2021</v>
      </c>
      <c r="B812" t="s">
        <v>112</v>
      </c>
      <c r="C812">
        <v>11</v>
      </c>
      <c r="D812">
        <v>11</v>
      </c>
      <c r="E812" t="s">
        <v>95</v>
      </c>
      <c r="F812" t="s">
        <v>90</v>
      </c>
      <c r="G812" t="s">
        <v>15</v>
      </c>
      <c r="H812" t="s">
        <v>91</v>
      </c>
      <c r="I812">
        <v>20</v>
      </c>
      <c r="J812">
        <v>0</v>
      </c>
      <c r="K812">
        <v>8</v>
      </c>
      <c r="L812" t="s">
        <v>116</v>
      </c>
      <c r="M812">
        <v>24</v>
      </c>
      <c r="N812">
        <v>1</v>
      </c>
      <c r="O812" t="s">
        <v>15</v>
      </c>
      <c r="P812">
        <v>1</v>
      </c>
      <c r="Q812" t="s">
        <v>90</v>
      </c>
      <c r="R812" t="s">
        <v>113</v>
      </c>
    </row>
    <row r="813" spans="1:18">
      <c r="A813">
        <v>2022</v>
      </c>
      <c r="B813" t="s">
        <v>112</v>
      </c>
      <c r="C813">
        <v>12</v>
      </c>
      <c r="D813">
        <v>11</v>
      </c>
      <c r="E813" t="s">
        <v>95</v>
      </c>
      <c r="F813" t="s">
        <v>90</v>
      </c>
      <c r="G813" t="s">
        <v>15</v>
      </c>
      <c r="H813" t="s">
        <v>91</v>
      </c>
      <c r="I813">
        <v>20</v>
      </c>
      <c r="J813">
        <v>0</v>
      </c>
      <c r="K813">
        <v>8</v>
      </c>
      <c r="L813" t="s">
        <v>116</v>
      </c>
      <c r="M813">
        <v>24</v>
      </c>
      <c r="N813">
        <v>1</v>
      </c>
      <c r="O813" t="s">
        <v>15</v>
      </c>
      <c r="P813">
        <v>1</v>
      </c>
      <c r="Q813" t="s">
        <v>90</v>
      </c>
      <c r="R813" t="s">
        <v>113</v>
      </c>
    </row>
    <row r="814" spans="1:18">
      <c r="A814">
        <v>2023</v>
      </c>
      <c r="B814" t="s">
        <v>112</v>
      </c>
      <c r="C814">
        <v>13</v>
      </c>
      <c r="D814">
        <v>11</v>
      </c>
      <c r="E814" t="s">
        <v>95</v>
      </c>
      <c r="F814" t="s">
        <v>90</v>
      </c>
      <c r="G814" t="s">
        <v>15</v>
      </c>
      <c r="H814" t="s">
        <v>91</v>
      </c>
      <c r="I814">
        <v>20</v>
      </c>
      <c r="J814">
        <v>0</v>
      </c>
      <c r="K814">
        <v>8</v>
      </c>
      <c r="L814" t="s">
        <v>116</v>
      </c>
      <c r="M814">
        <v>24</v>
      </c>
      <c r="N814">
        <v>1</v>
      </c>
      <c r="O814" t="s">
        <v>15</v>
      </c>
      <c r="P814">
        <v>1</v>
      </c>
      <c r="Q814" t="s">
        <v>90</v>
      </c>
      <c r="R814" t="s">
        <v>113</v>
      </c>
    </row>
    <row r="815" spans="1:18">
      <c r="A815">
        <v>2024</v>
      </c>
      <c r="B815" t="s">
        <v>112</v>
      </c>
      <c r="C815">
        <v>14</v>
      </c>
      <c r="D815">
        <v>11</v>
      </c>
      <c r="E815" t="s">
        <v>95</v>
      </c>
      <c r="F815" t="s">
        <v>90</v>
      </c>
      <c r="G815" t="s">
        <v>15</v>
      </c>
      <c r="H815" t="s">
        <v>91</v>
      </c>
      <c r="I815">
        <v>20</v>
      </c>
      <c r="J815">
        <v>0</v>
      </c>
      <c r="K815">
        <v>8</v>
      </c>
      <c r="L815" t="s">
        <v>116</v>
      </c>
      <c r="M815">
        <v>24</v>
      </c>
      <c r="N815">
        <v>1</v>
      </c>
      <c r="O815" t="s">
        <v>15</v>
      </c>
      <c r="P815">
        <v>1</v>
      </c>
      <c r="Q815" t="s">
        <v>90</v>
      </c>
      <c r="R815" t="s">
        <v>113</v>
      </c>
    </row>
    <row r="816" spans="1:18">
      <c r="A816">
        <v>2025</v>
      </c>
      <c r="B816" t="s">
        <v>112</v>
      </c>
      <c r="C816">
        <v>15</v>
      </c>
      <c r="D816">
        <v>11</v>
      </c>
      <c r="E816" t="s">
        <v>95</v>
      </c>
      <c r="F816" t="s">
        <v>90</v>
      </c>
      <c r="G816" t="s">
        <v>15</v>
      </c>
      <c r="H816" t="s">
        <v>91</v>
      </c>
      <c r="I816">
        <v>20</v>
      </c>
      <c r="J816">
        <v>0</v>
      </c>
      <c r="K816">
        <v>8</v>
      </c>
      <c r="L816" t="s">
        <v>116</v>
      </c>
      <c r="M816">
        <v>24</v>
      </c>
      <c r="N816">
        <v>1</v>
      </c>
      <c r="O816" t="s">
        <v>15</v>
      </c>
      <c r="P816">
        <v>1</v>
      </c>
      <c r="Q816" t="s">
        <v>90</v>
      </c>
      <c r="R816" t="s">
        <v>113</v>
      </c>
    </row>
    <row r="817" spans="1:18">
      <c r="A817">
        <v>2026</v>
      </c>
      <c r="B817" t="s">
        <v>112</v>
      </c>
      <c r="C817">
        <v>16</v>
      </c>
      <c r="D817">
        <v>11</v>
      </c>
      <c r="E817" t="s">
        <v>95</v>
      </c>
      <c r="F817" t="s">
        <v>90</v>
      </c>
      <c r="G817" t="s">
        <v>15</v>
      </c>
      <c r="H817" t="s">
        <v>91</v>
      </c>
      <c r="I817">
        <v>20</v>
      </c>
      <c r="J817">
        <v>0</v>
      </c>
      <c r="K817">
        <v>8</v>
      </c>
      <c r="L817" t="s">
        <v>116</v>
      </c>
      <c r="M817">
        <v>24</v>
      </c>
      <c r="N817">
        <v>1</v>
      </c>
      <c r="O817" t="s">
        <v>15</v>
      </c>
      <c r="P817">
        <v>1</v>
      </c>
      <c r="Q817" t="s">
        <v>90</v>
      </c>
      <c r="R817" t="s">
        <v>113</v>
      </c>
    </row>
    <row r="818" spans="1:18">
      <c r="A818">
        <v>2027</v>
      </c>
      <c r="B818" t="s">
        <v>112</v>
      </c>
      <c r="C818">
        <v>17</v>
      </c>
      <c r="D818">
        <v>11</v>
      </c>
      <c r="E818" t="s">
        <v>95</v>
      </c>
      <c r="F818" t="s">
        <v>90</v>
      </c>
      <c r="G818" t="s">
        <v>15</v>
      </c>
      <c r="H818" t="s">
        <v>91</v>
      </c>
      <c r="I818">
        <v>20</v>
      </c>
      <c r="J818">
        <v>0</v>
      </c>
      <c r="K818">
        <v>8</v>
      </c>
      <c r="L818" t="s">
        <v>116</v>
      </c>
      <c r="M818">
        <v>24</v>
      </c>
      <c r="N818">
        <v>1</v>
      </c>
      <c r="O818" t="s">
        <v>15</v>
      </c>
      <c r="P818">
        <v>1</v>
      </c>
      <c r="Q818" t="s">
        <v>90</v>
      </c>
      <c r="R818" t="s">
        <v>113</v>
      </c>
    </row>
    <row r="819" spans="1:18">
      <c r="A819">
        <v>2028</v>
      </c>
      <c r="B819" t="s">
        <v>112</v>
      </c>
      <c r="C819">
        <v>18</v>
      </c>
      <c r="D819">
        <v>11</v>
      </c>
      <c r="E819" t="s">
        <v>95</v>
      </c>
      <c r="F819" t="s">
        <v>90</v>
      </c>
      <c r="G819" t="s">
        <v>15</v>
      </c>
      <c r="H819" t="s">
        <v>91</v>
      </c>
      <c r="I819">
        <v>20</v>
      </c>
      <c r="J819">
        <v>0</v>
      </c>
      <c r="K819">
        <v>8</v>
      </c>
      <c r="L819" t="s">
        <v>116</v>
      </c>
      <c r="M819">
        <v>24</v>
      </c>
      <c r="N819">
        <v>1</v>
      </c>
      <c r="O819" t="s">
        <v>15</v>
      </c>
      <c r="P819">
        <v>1</v>
      </c>
      <c r="Q819" t="s">
        <v>90</v>
      </c>
      <c r="R819" t="s">
        <v>113</v>
      </c>
    </row>
    <row r="820" spans="1:18">
      <c r="A820">
        <v>2029</v>
      </c>
      <c r="B820" t="s">
        <v>112</v>
      </c>
      <c r="C820">
        <v>19</v>
      </c>
      <c r="D820">
        <v>11</v>
      </c>
      <c r="E820" t="s">
        <v>95</v>
      </c>
      <c r="F820" t="s">
        <v>90</v>
      </c>
      <c r="G820" t="s">
        <v>15</v>
      </c>
      <c r="H820" t="s">
        <v>91</v>
      </c>
      <c r="I820">
        <v>20</v>
      </c>
      <c r="J820">
        <v>0</v>
      </c>
      <c r="K820">
        <v>8</v>
      </c>
      <c r="L820" t="s">
        <v>116</v>
      </c>
      <c r="M820">
        <v>24</v>
      </c>
      <c r="N820">
        <v>1</v>
      </c>
      <c r="O820" t="s">
        <v>15</v>
      </c>
      <c r="P820">
        <v>1</v>
      </c>
      <c r="Q820" t="s">
        <v>90</v>
      </c>
      <c r="R820" t="s">
        <v>113</v>
      </c>
    </row>
    <row r="821" spans="1:18">
      <c r="A821">
        <v>2030</v>
      </c>
      <c r="B821" t="s">
        <v>112</v>
      </c>
      <c r="C821">
        <v>20</v>
      </c>
      <c r="D821">
        <v>11</v>
      </c>
      <c r="E821" t="s">
        <v>95</v>
      </c>
      <c r="F821" t="s">
        <v>90</v>
      </c>
      <c r="G821" t="s">
        <v>15</v>
      </c>
      <c r="H821" t="s">
        <v>91</v>
      </c>
      <c r="I821">
        <v>20</v>
      </c>
      <c r="J821">
        <v>0</v>
      </c>
      <c r="K821">
        <v>8</v>
      </c>
      <c r="L821" t="s">
        <v>116</v>
      </c>
      <c r="M821">
        <v>24</v>
      </c>
      <c r="N821">
        <v>1</v>
      </c>
      <c r="O821" t="s">
        <v>15</v>
      </c>
      <c r="P821">
        <v>1</v>
      </c>
      <c r="Q821" t="s">
        <v>90</v>
      </c>
      <c r="R821" t="s">
        <v>113</v>
      </c>
    </row>
    <row r="822" spans="1:18">
      <c r="A822">
        <v>2031</v>
      </c>
      <c r="B822" t="s">
        <v>112</v>
      </c>
      <c r="C822">
        <v>21</v>
      </c>
      <c r="D822">
        <v>9</v>
      </c>
      <c r="E822" t="s">
        <v>89</v>
      </c>
      <c r="F822" t="s">
        <v>90</v>
      </c>
      <c r="G822" t="s">
        <v>15</v>
      </c>
      <c r="H822" t="s">
        <v>91</v>
      </c>
      <c r="I822">
        <v>20</v>
      </c>
      <c r="J822">
        <v>0</v>
      </c>
      <c r="K822">
        <v>8</v>
      </c>
      <c r="L822" t="s">
        <v>116</v>
      </c>
      <c r="M822">
        <v>24</v>
      </c>
      <c r="N822">
        <v>1</v>
      </c>
      <c r="O822" t="s">
        <v>15</v>
      </c>
      <c r="P822">
        <v>1</v>
      </c>
      <c r="Q822" t="s">
        <v>90</v>
      </c>
      <c r="R822" t="s">
        <v>113</v>
      </c>
    </row>
    <row r="823" spans="1:18">
      <c r="A823">
        <v>2032</v>
      </c>
      <c r="B823" t="s">
        <v>112</v>
      </c>
      <c r="C823">
        <v>22</v>
      </c>
      <c r="D823">
        <v>10</v>
      </c>
      <c r="E823" t="s">
        <v>94</v>
      </c>
      <c r="F823" t="s">
        <v>90</v>
      </c>
      <c r="G823" t="s">
        <v>15</v>
      </c>
      <c r="H823" t="s">
        <v>91</v>
      </c>
      <c r="I823">
        <v>20</v>
      </c>
      <c r="J823">
        <v>0</v>
      </c>
      <c r="K823">
        <v>8</v>
      </c>
      <c r="L823" t="s">
        <v>116</v>
      </c>
      <c r="M823">
        <v>24</v>
      </c>
      <c r="N823">
        <v>1</v>
      </c>
      <c r="O823" t="s">
        <v>15</v>
      </c>
      <c r="P823">
        <v>1</v>
      </c>
      <c r="Q823" t="s">
        <v>90</v>
      </c>
      <c r="R823" t="s">
        <v>113</v>
      </c>
    </row>
    <row r="824" spans="1:18">
      <c r="A824">
        <v>2033</v>
      </c>
      <c r="B824" t="s">
        <v>112</v>
      </c>
      <c r="C824">
        <v>23</v>
      </c>
      <c r="D824">
        <v>9</v>
      </c>
      <c r="E824" t="s">
        <v>89</v>
      </c>
      <c r="F824" t="s">
        <v>90</v>
      </c>
      <c r="G824" t="s">
        <v>15</v>
      </c>
      <c r="H824" t="s">
        <v>91</v>
      </c>
      <c r="I824">
        <v>20</v>
      </c>
      <c r="J824">
        <v>0</v>
      </c>
      <c r="K824">
        <v>8</v>
      </c>
      <c r="L824" t="s">
        <v>116</v>
      </c>
      <c r="M824">
        <v>24</v>
      </c>
      <c r="N824">
        <v>1</v>
      </c>
      <c r="O824" t="s">
        <v>15</v>
      </c>
      <c r="P824">
        <v>1</v>
      </c>
      <c r="Q824" t="s">
        <v>90</v>
      </c>
      <c r="R824" t="s">
        <v>113</v>
      </c>
    </row>
    <row r="825" spans="1:18">
      <c r="A825">
        <v>2034</v>
      </c>
      <c r="B825" t="s">
        <v>112</v>
      </c>
      <c r="C825">
        <v>24</v>
      </c>
      <c r="D825">
        <v>10</v>
      </c>
      <c r="E825" t="s">
        <v>94</v>
      </c>
      <c r="F825" t="s">
        <v>90</v>
      </c>
      <c r="G825" t="s">
        <v>15</v>
      </c>
      <c r="H825" t="s">
        <v>91</v>
      </c>
      <c r="I825">
        <v>20</v>
      </c>
      <c r="J825">
        <v>0</v>
      </c>
      <c r="K825">
        <v>8</v>
      </c>
      <c r="L825" t="s">
        <v>116</v>
      </c>
      <c r="M825">
        <v>24</v>
      </c>
      <c r="N825">
        <v>1</v>
      </c>
      <c r="O825" t="s">
        <v>15</v>
      </c>
      <c r="P825">
        <v>1</v>
      </c>
      <c r="Q825" t="s">
        <v>90</v>
      </c>
      <c r="R825" t="s">
        <v>113</v>
      </c>
    </row>
    <row r="826" spans="1:18">
      <c r="A826">
        <v>2035</v>
      </c>
      <c r="B826" t="s">
        <v>112</v>
      </c>
      <c r="C826">
        <v>25</v>
      </c>
      <c r="D826">
        <v>9</v>
      </c>
      <c r="E826" t="s">
        <v>89</v>
      </c>
      <c r="F826" t="s">
        <v>90</v>
      </c>
      <c r="G826" t="s">
        <v>15</v>
      </c>
      <c r="H826" t="s">
        <v>91</v>
      </c>
      <c r="I826">
        <v>20</v>
      </c>
      <c r="J826">
        <v>0</v>
      </c>
      <c r="K826">
        <v>8</v>
      </c>
      <c r="L826" t="s">
        <v>116</v>
      </c>
      <c r="M826">
        <v>24</v>
      </c>
      <c r="N826">
        <v>1</v>
      </c>
      <c r="O826" t="s">
        <v>15</v>
      </c>
      <c r="P826">
        <v>1</v>
      </c>
      <c r="Q826" t="s">
        <v>90</v>
      </c>
      <c r="R826" t="s">
        <v>113</v>
      </c>
    </row>
    <row r="827" spans="1:18">
      <c r="A827">
        <v>2036</v>
      </c>
      <c r="B827" t="s">
        <v>112</v>
      </c>
      <c r="C827">
        <v>26</v>
      </c>
      <c r="D827">
        <v>10</v>
      </c>
      <c r="E827" t="s">
        <v>94</v>
      </c>
      <c r="F827" t="s">
        <v>90</v>
      </c>
      <c r="G827" t="s">
        <v>15</v>
      </c>
      <c r="H827" t="s">
        <v>91</v>
      </c>
      <c r="I827">
        <v>20</v>
      </c>
      <c r="J827">
        <v>0</v>
      </c>
      <c r="K827">
        <v>8</v>
      </c>
      <c r="L827" t="s">
        <v>116</v>
      </c>
      <c r="M827">
        <v>24</v>
      </c>
      <c r="N827">
        <v>1</v>
      </c>
      <c r="O827" t="s">
        <v>15</v>
      </c>
      <c r="P827">
        <v>1</v>
      </c>
      <c r="Q827" t="s">
        <v>90</v>
      </c>
      <c r="R827" t="s">
        <v>113</v>
      </c>
    </row>
    <row r="828" spans="1:18">
      <c r="A828">
        <v>2037</v>
      </c>
      <c r="B828" t="s">
        <v>112</v>
      </c>
      <c r="C828">
        <v>27</v>
      </c>
      <c r="D828">
        <v>9</v>
      </c>
      <c r="E828" t="s">
        <v>89</v>
      </c>
      <c r="F828" t="s">
        <v>90</v>
      </c>
      <c r="G828" t="s">
        <v>15</v>
      </c>
      <c r="H828" t="s">
        <v>91</v>
      </c>
      <c r="I828">
        <v>20</v>
      </c>
      <c r="J828">
        <v>0</v>
      </c>
      <c r="K828">
        <v>8</v>
      </c>
      <c r="L828" t="s">
        <v>116</v>
      </c>
      <c r="M828">
        <v>24</v>
      </c>
      <c r="N828">
        <v>1</v>
      </c>
      <c r="O828" t="s">
        <v>15</v>
      </c>
      <c r="P828">
        <v>1</v>
      </c>
      <c r="Q828" t="s">
        <v>90</v>
      </c>
      <c r="R828" t="s">
        <v>113</v>
      </c>
    </row>
    <row r="829" spans="1:18">
      <c r="A829">
        <v>2038</v>
      </c>
      <c r="B829" t="s">
        <v>112</v>
      </c>
      <c r="C829">
        <v>28</v>
      </c>
      <c r="D829">
        <v>10</v>
      </c>
      <c r="E829" t="s">
        <v>94</v>
      </c>
      <c r="F829" t="s">
        <v>90</v>
      </c>
      <c r="G829" t="s">
        <v>15</v>
      </c>
      <c r="H829" t="s">
        <v>91</v>
      </c>
      <c r="I829">
        <v>20</v>
      </c>
      <c r="J829">
        <v>0</v>
      </c>
      <c r="K829">
        <v>8</v>
      </c>
      <c r="L829" t="s">
        <v>116</v>
      </c>
      <c r="M829">
        <v>24</v>
      </c>
      <c r="N829">
        <v>1</v>
      </c>
      <c r="O829" t="s">
        <v>15</v>
      </c>
      <c r="P829">
        <v>1</v>
      </c>
      <c r="Q829" t="s">
        <v>90</v>
      </c>
      <c r="R829" t="s">
        <v>113</v>
      </c>
    </row>
    <row r="830" spans="1:18">
      <c r="A830">
        <v>2039</v>
      </c>
      <c r="B830" t="s">
        <v>112</v>
      </c>
      <c r="C830">
        <v>29</v>
      </c>
      <c r="D830">
        <v>9</v>
      </c>
      <c r="E830" t="s">
        <v>89</v>
      </c>
      <c r="F830" t="s">
        <v>90</v>
      </c>
      <c r="G830" t="s">
        <v>15</v>
      </c>
      <c r="H830" t="s">
        <v>91</v>
      </c>
      <c r="I830">
        <v>20</v>
      </c>
      <c r="J830">
        <v>0</v>
      </c>
      <c r="K830">
        <v>8</v>
      </c>
      <c r="L830" t="s">
        <v>116</v>
      </c>
      <c r="M830">
        <v>24</v>
      </c>
      <c r="N830">
        <v>1</v>
      </c>
      <c r="O830" t="s">
        <v>15</v>
      </c>
      <c r="P830">
        <v>1</v>
      </c>
      <c r="Q830" t="s">
        <v>90</v>
      </c>
      <c r="R830" t="s">
        <v>113</v>
      </c>
    </row>
    <row r="831" spans="1:18">
      <c r="A831">
        <v>2040</v>
      </c>
      <c r="B831" t="s">
        <v>112</v>
      </c>
      <c r="C831">
        <v>30</v>
      </c>
      <c r="D831">
        <v>10</v>
      </c>
      <c r="E831" t="s">
        <v>94</v>
      </c>
      <c r="F831" t="s">
        <v>90</v>
      </c>
      <c r="G831" t="s">
        <v>15</v>
      </c>
      <c r="H831" t="s">
        <v>91</v>
      </c>
      <c r="I831">
        <v>20</v>
      </c>
      <c r="J831">
        <v>0</v>
      </c>
      <c r="K831">
        <v>8</v>
      </c>
      <c r="L831" t="s">
        <v>116</v>
      </c>
      <c r="M831">
        <v>24</v>
      </c>
      <c r="N831">
        <v>1</v>
      </c>
      <c r="O831" t="s">
        <v>15</v>
      </c>
      <c r="P831">
        <v>1</v>
      </c>
      <c r="Q831" t="s">
        <v>90</v>
      </c>
      <c r="R831" t="s">
        <v>113</v>
      </c>
    </row>
    <row r="832" spans="1:18">
      <c r="A832">
        <v>2041</v>
      </c>
      <c r="B832" t="s">
        <v>112</v>
      </c>
      <c r="C832">
        <v>31</v>
      </c>
      <c r="D832">
        <v>12</v>
      </c>
      <c r="E832" t="s">
        <v>96</v>
      </c>
      <c r="F832" t="s">
        <v>90</v>
      </c>
      <c r="G832" t="s">
        <v>15</v>
      </c>
      <c r="H832" t="s">
        <v>91</v>
      </c>
      <c r="I832">
        <v>20</v>
      </c>
      <c r="J832">
        <v>0</v>
      </c>
      <c r="K832">
        <v>8</v>
      </c>
      <c r="L832" t="s">
        <v>116</v>
      </c>
      <c r="M832">
        <v>24</v>
      </c>
      <c r="N832">
        <v>1</v>
      </c>
      <c r="O832" t="s">
        <v>15</v>
      </c>
      <c r="P832">
        <v>1</v>
      </c>
      <c r="Q832" t="s">
        <v>90</v>
      </c>
      <c r="R832" t="s">
        <v>113</v>
      </c>
    </row>
    <row r="833" spans="1:18">
      <c r="A833">
        <v>2042</v>
      </c>
      <c r="B833" t="s">
        <v>112</v>
      </c>
      <c r="C833">
        <v>32</v>
      </c>
      <c r="D833">
        <v>12</v>
      </c>
      <c r="E833" t="s">
        <v>96</v>
      </c>
      <c r="F833" t="s">
        <v>90</v>
      </c>
      <c r="G833" t="s">
        <v>15</v>
      </c>
      <c r="H833" t="s">
        <v>91</v>
      </c>
      <c r="I833">
        <v>20</v>
      </c>
      <c r="J833">
        <v>0</v>
      </c>
      <c r="K833">
        <v>8</v>
      </c>
      <c r="L833" t="s">
        <v>116</v>
      </c>
      <c r="M833">
        <v>24</v>
      </c>
      <c r="N833">
        <v>1</v>
      </c>
      <c r="O833" t="s">
        <v>15</v>
      </c>
      <c r="P833">
        <v>1</v>
      </c>
      <c r="Q833" t="s">
        <v>90</v>
      </c>
      <c r="R833" t="s">
        <v>113</v>
      </c>
    </row>
    <row r="834" spans="1:18">
      <c r="A834">
        <v>2043</v>
      </c>
      <c r="B834" t="s">
        <v>112</v>
      </c>
      <c r="C834">
        <v>33</v>
      </c>
      <c r="D834">
        <v>12</v>
      </c>
      <c r="E834" t="s">
        <v>96</v>
      </c>
      <c r="F834" t="s">
        <v>90</v>
      </c>
      <c r="G834" t="s">
        <v>15</v>
      </c>
      <c r="H834" t="s">
        <v>91</v>
      </c>
      <c r="I834">
        <v>20</v>
      </c>
      <c r="J834">
        <v>0</v>
      </c>
      <c r="K834">
        <v>8</v>
      </c>
      <c r="L834" t="s">
        <v>116</v>
      </c>
      <c r="M834">
        <v>24</v>
      </c>
      <c r="N834">
        <v>1</v>
      </c>
      <c r="O834" t="s">
        <v>15</v>
      </c>
      <c r="P834">
        <v>1</v>
      </c>
      <c r="Q834" t="s">
        <v>90</v>
      </c>
      <c r="R834" t="s">
        <v>113</v>
      </c>
    </row>
    <row r="835" spans="1:18">
      <c r="A835">
        <v>2044</v>
      </c>
      <c r="B835" t="s">
        <v>112</v>
      </c>
      <c r="C835">
        <v>34</v>
      </c>
      <c r="D835">
        <v>12</v>
      </c>
      <c r="E835" t="s">
        <v>96</v>
      </c>
      <c r="F835" t="s">
        <v>90</v>
      </c>
      <c r="G835" t="s">
        <v>15</v>
      </c>
      <c r="H835" t="s">
        <v>91</v>
      </c>
      <c r="I835">
        <v>20</v>
      </c>
      <c r="J835">
        <v>0</v>
      </c>
      <c r="K835">
        <v>8</v>
      </c>
      <c r="L835" t="s">
        <v>116</v>
      </c>
      <c r="M835">
        <v>24</v>
      </c>
      <c r="N835">
        <v>1</v>
      </c>
      <c r="O835" t="s">
        <v>15</v>
      </c>
      <c r="P835">
        <v>1</v>
      </c>
      <c r="Q835" t="s">
        <v>90</v>
      </c>
      <c r="R835" t="s">
        <v>113</v>
      </c>
    </row>
    <row r="836" spans="1:18">
      <c r="A836">
        <v>2045</v>
      </c>
      <c r="B836" t="s">
        <v>112</v>
      </c>
      <c r="C836">
        <v>35</v>
      </c>
      <c r="D836">
        <v>12</v>
      </c>
      <c r="E836" t="s">
        <v>96</v>
      </c>
      <c r="F836" t="s">
        <v>90</v>
      </c>
      <c r="G836" t="s">
        <v>15</v>
      </c>
      <c r="H836" t="s">
        <v>91</v>
      </c>
      <c r="I836">
        <v>20</v>
      </c>
      <c r="J836">
        <v>0</v>
      </c>
      <c r="K836">
        <v>8</v>
      </c>
      <c r="L836" t="s">
        <v>116</v>
      </c>
      <c r="M836">
        <v>24</v>
      </c>
      <c r="N836">
        <v>1</v>
      </c>
      <c r="O836" t="s">
        <v>15</v>
      </c>
      <c r="P836">
        <v>1</v>
      </c>
      <c r="Q836" t="s">
        <v>90</v>
      </c>
      <c r="R836" t="s">
        <v>113</v>
      </c>
    </row>
    <row r="837" spans="1:18">
      <c r="A837">
        <v>2046</v>
      </c>
      <c r="B837" t="s">
        <v>112</v>
      </c>
      <c r="C837">
        <v>36</v>
      </c>
      <c r="D837">
        <v>12</v>
      </c>
      <c r="E837" t="s">
        <v>96</v>
      </c>
      <c r="F837" t="s">
        <v>90</v>
      </c>
      <c r="G837" t="s">
        <v>15</v>
      </c>
      <c r="H837" t="s">
        <v>91</v>
      </c>
      <c r="I837">
        <v>20</v>
      </c>
      <c r="J837">
        <v>0</v>
      </c>
      <c r="K837">
        <v>8</v>
      </c>
      <c r="L837" t="s">
        <v>116</v>
      </c>
      <c r="M837">
        <v>24</v>
      </c>
      <c r="N837">
        <v>1</v>
      </c>
      <c r="O837" t="s">
        <v>15</v>
      </c>
      <c r="P837">
        <v>1</v>
      </c>
      <c r="Q837" t="s">
        <v>90</v>
      </c>
      <c r="R837" t="s">
        <v>113</v>
      </c>
    </row>
    <row r="838" spans="1:18">
      <c r="A838">
        <v>2047</v>
      </c>
      <c r="B838" t="s">
        <v>112</v>
      </c>
      <c r="C838">
        <v>37</v>
      </c>
      <c r="D838">
        <v>12</v>
      </c>
      <c r="E838" t="s">
        <v>96</v>
      </c>
      <c r="F838" t="s">
        <v>90</v>
      </c>
      <c r="G838" t="s">
        <v>15</v>
      </c>
      <c r="H838" t="s">
        <v>91</v>
      </c>
      <c r="I838">
        <v>20</v>
      </c>
      <c r="J838">
        <v>0</v>
      </c>
      <c r="K838">
        <v>8</v>
      </c>
      <c r="L838" t="s">
        <v>116</v>
      </c>
      <c r="M838">
        <v>24</v>
      </c>
      <c r="N838">
        <v>1</v>
      </c>
      <c r="O838" t="s">
        <v>15</v>
      </c>
      <c r="P838">
        <v>1</v>
      </c>
      <c r="Q838" t="s">
        <v>90</v>
      </c>
      <c r="R838" t="s">
        <v>113</v>
      </c>
    </row>
    <row r="839" spans="1:18">
      <c r="A839">
        <v>2048</v>
      </c>
      <c r="B839" t="s">
        <v>112</v>
      </c>
      <c r="C839">
        <v>38</v>
      </c>
      <c r="D839">
        <v>12</v>
      </c>
      <c r="E839" t="s">
        <v>96</v>
      </c>
      <c r="F839" t="s">
        <v>90</v>
      </c>
      <c r="G839" t="s">
        <v>15</v>
      </c>
      <c r="H839" t="s">
        <v>91</v>
      </c>
      <c r="I839">
        <v>20</v>
      </c>
      <c r="J839">
        <v>0</v>
      </c>
      <c r="K839">
        <v>8</v>
      </c>
      <c r="L839" t="s">
        <v>116</v>
      </c>
      <c r="M839">
        <v>24</v>
      </c>
      <c r="N839">
        <v>1</v>
      </c>
      <c r="O839" t="s">
        <v>15</v>
      </c>
      <c r="P839">
        <v>1</v>
      </c>
      <c r="Q839" t="s">
        <v>90</v>
      </c>
      <c r="R839" t="s">
        <v>113</v>
      </c>
    </row>
    <row r="840" spans="1:18">
      <c r="A840">
        <v>2049</v>
      </c>
      <c r="B840" t="s">
        <v>112</v>
      </c>
      <c r="C840">
        <v>39</v>
      </c>
      <c r="D840">
        <v>12</v>
      </c>
      <c r="E840" t="s">
        <v>96</v>
      </c>
      <c r="F840" t="s">
        <v>90</v>
      </c>
      <c r="G840" t="s">
        <v>15</v>
      </c>
      <c r="H840" t="s">
        <v>91</v>
      </c>
      <c r="I840">
        <v>20</v>
      </c>
      <c r="J840">
        <v>0</v>
      </c>
      <c r="K840">
        <v>8</v>
      </c>
      <c r="L840" t="s">
        <v>116</v>
      </c>
      <c r="M840">
        <v>24</v>
      </c>
      <c r="N840">
        <v>1</v>
      </c>
      <c r="O840" t="s">
        <v>15</v>
      </c>
      <c r="P840">
        <v>1</v>
      </c>
      <c r="Q840" t="s">
        <v>90</v>
      </c>
      <c r="R840" t="s">
        <v>113</v>
      </c>
    </row>
    <row r="841" spans="1:18">
      <c r="A841">
        <v>2050</v>
      </c>
      <c r="B841" t="s">
        <v>112</v>
      </c>
      <c r="C841">
        <v>40</v>
      </c>
      <c r="D841">
        <v>12</v>
      </c>
      <c r="E841" t="s">
        <v>96</v>
      </c>
      <c r="F841" t="s">
        <v>90</v>
      </c>
      <c r="G841" t="s">
        <v>15</v>
      </c>
      <c r="H841" t="s">
        <v>91</v>
      </c>
      <c r="I841">
        <v>20</v>
      </c>
      <c r="J841">
        <v>0</v>
      </c>
      <c r="K841">
        <v>8</v>
      </c>
      <c r="L841" t="s">
        <v>116</v>
      </c>
      <c r="M841">
        <v>24</v>
      </c>
      <c r="N841">
        <v>1</v>
      </c>
      <c r="O841" t="s">
        <v>15</v>
      </c>
      <c r="P841">
        <v>1</v>
      </c>
      <c r="Q841" t="s">
        <v>90</v>
      </c>
      <c r="R841" t="s">
        <v>113</v>
      </c>
    </row>
    <row r="842" spans="1:18">
      <c r="A842">
        <v>2051</v>
      </c>
      <c r="B842" t="s">
        <v>114</v>
      </c>
      <c r="C842">
        <v>1</v>
      </c>
      <c r="D842">
        <v>9</v>
      </c>
      <c r="E842" t="s">
        <v>89</v>
      </c>
      <c r="F842" t="s">
        <v>90</v>
      </c>
      <c r="G842" t="s">
        <v>15</v>
      </c>
      <c r="H842" t="s">
        <v>91</v>
      </c>
      <c r="I842">
        <v>20</v>
      </c>
      <c r="J842">
        <v>0</v>
      </c>
      <c r="K842">
        <v>8</v>
      </c>
      <c r="L842" t="s">
        <v>116</v>
      </c>
      <c r="M842">
        <v>26</v>
      </c>
      <c r="N842">
        <v>1</v>
      </c>
      <c r="O842" t="s">
        <v>15</v>
      </c>
      <c r="P842">
        <v>1</v>
      </c>
      <c r="Q842" t="s">
        <v>90</v>
      </c>
      <c r="R842" t="s">
        <v>115</v>
      </c>
    </row>
    <row r="843" spans="1:18">
      <c r="A843">
        <v>2052</v>
      </c>
      <c r="B843" t="s">
        <v>114</v>
      </c>
      <c r="C843">
        <v>2</v>
      </c>
      <c r="D843">
        <v>10</v>
      </c>
      <c r="E843" t="s">
        <v>94</v>
      </c>
      <c r="F843" t="s">
        <v>90</v>
      </c>
      <c r="G843" t="s">
        <v>15</v>
      </c>
      <c r="H843" t="s">
        <v>91</v>
      </c>
      <c r="I843">
        <v>20</v>
      </c>
      <c r="J843">
        <v>0</v>
      </c>
      <c r="K843">
        <v>8</v>
      </c>
      <c r="L843" t="s">
        <v>116</v>
      </c>
      <c r="M843">
        <v>26</v>
      </c>
      <c r="N843">
        <v>1</v>
      </c>
      <c r="O843" t="s">
        <v>15</v>
      </c>
      <c r="P843">
        <v>1</v>
      </c>
      <c r="Q843" t="s">
        <v>90</v>
      </c>
      <c r="R843" t="s">
        <v>115</v>
      </c>
    </row>
    <row r="844" spans="1:18">
      <c r="A844">
        <v>2053</v>
      </c>
      <c r="B844" t="s">
        <v>114</v>
      </c>
      <c r="C844">
        <v>3</v>
      </c>
      <c r="D844">
        <v>9</v>
      </c>
      <c r="E844" t="s">
        <v>89</v>
      </c>
      <c r="F844" t="s">
        <v>90</v>
      </c>
      <c r="G844" t="s">
        <v>15</v>
      </c>
      <c r="H844" t="s">
        <v>91</v>
      </c>
      <c r="I844">
        <v>20</v>
      </c>
      <c r="J844">
        <v>0</v>
      </c>
      <c r="K844">
        <v>8</v>
      </c>
      <c r="L844" t="s">
        <v>116</v>
      </c>
      <c r="M844">
        <v>26</v>
      </c>
      <c r="N844">
        <v>1</v>
      </c>
      <c r="O844" t="s">
        <v>15</v>
      </c>
      <c r="P844">
        <v>1</v>
      </c>
      <c r="Q844" t="s">
        <v>90</v>
      </c>
      <c r="R844" t="s">
        <v>115</v>
      </c>
    </row>
    <row r="845" spans="1:18">
      <c r="A845">
        <v>2054</v>
      </c>
      <c r="B845" t="s">
        <v>114</v>
      </c>
      <c r="C845">
        <v>4</v>
      </c>
      <c r="D845">
        <v>9</v>
      </c>
      <c r="E845" t="s">
        <v>89</v>
      </c>
      <c r="F845" t="s">
        <v>90</v>
      </c>
      <c r="G845" t="s">
        <v>15</v>
      </c>
      <c r="H845" t="s">
        <v>91</v>
      </c>
      <c r="I845">
        <v>20</v>
      </c>
      <c r="J845">
        <v>0</v>
      </c>
      <c r="K845">
        <v>8</v>
      </c>
      <c r="L845" t="s">
        <v>116</v>
      </c>
      <c r="M845">
        <v>26</v>
      </c>
      <c r="N845">
        <v>1</v>
      </c>
      <c r="O845" t="s">
        <v>15</v>
      </c>
      <c r="P845">
        <v>1</v>
      </c>
      <c r="Q845" t="s">
        <v>90</v>
      </c>
      <c r="R845" t="s">
        <v>115</v>
      </c>
    </row>
    <row r="846" spans="1:18">
      <c r="A846">
        <v>2055</v>
      </c>
      <c r="B846" t="s">
        <v>114</v>
      </c>
      <c r="C846">
        <v>5</v>
      </c>
      <c r="D846">
        <v>9</v>
      </c>
      <c r="E846" t="s">
        <v>89</v>
      </c>
      <c r="F846" t="s">
        <v>90</v>
      </c>
      <c r="G846" t="s">
        <v>15</v>
      </c>
      <c r="H846" t="s">
        <v>91</v>
      </c>
      <c r="I846">
        <v>20</v>
      </c>
      <c r="J846">
        <v>0</v>
      </c>
      <c r="K846">
        <v>8</v>
      </c>
      <c r="L846" t="s">
        <v>116</v>
      </c>
      <c r="M846">
        <v>26</v>
      </c>
      <c r="N846">
        <v>1</v>
      </c>
      <c r="O846" t="s">
        <v>15</v>
      </c>
      <c r="P846">
        <v>1</v>
      </c>
      <c r="Q846" t="s">
        <v>90</v>
      </c>
      <c r="R846" t="s">
        <v>115</v>
      </c>
    </row>
    <row r="847" spans="1:18">
      <c r="A847">
        <v>2056</v>
      </c>
      <c r="B847" t="s">
        <v>114</v>
      </c>
      <c r="C847">
        <v>6</v>
      </c>
      <c r="D847">
        <v>10</v>
      </c>
      <c r="E847" t="s">
        <v>94</v>
      </c>
      <c r="F847" t="s">
        <v>90</v>
      </c>
      <c r="G847" t="s">
        <v>15</v>
      </c>
      <c r="H847" t="s">
        <v>91</v>
      </c>
      <c r="I847">
        <v>20</v>
      </c>
      <c r="J847">
        <v>0</v>
      </c>
      <c r="K847">
        <v>8</v>
      </c>
      <c r="L847" t="s">
        <v>116</v>
      </c>
      <c r="M847">
        <v>26</v>
      </c>
      <c r="N847">
        <v>1</v>
      </c>
      <c r="O847" t="s">
        <v>15</v>
      </c>
      <c r="P847">
        <v>1</v>
      </c>
      <c r="Q847" t="s">
        <v>90</v>
      </c>
      <c r="R847" t="s">
        <v>115</v>
      </c>
    </row>
    <row r="848" spans="1:18">
      <c r="A848">
        <v>2057</v>
      </c>
      <c r="B848" t="s">
        <v>114</v>
      </c>
      <c r="C848">
        <v>7</v>
      </c>
      <c r="D848">
        <v>10</v>
      </c>
      <c r="E848" t="s">
        <v>94</v>
      </c>
      <c r="F848" t="s">
        <v>90</v>
      </c>
      <c r="G848" t="s">
        <v>15</v>
      </c>
      <c r="H848" t="s">
        <v>91</v>
      </c>
      <c r="I848">
        <v>20</v>
      </c>
      <c r="J848">
        <v>0</v>
      </c>
      <c r="K848">
        <v>8</v>
      </c>
      <c r="L848" t="s">
        <v>116</v>
      </c>
      <c r="M848">
        <v>26</v>
      </c>
      <c r="N848">
        <v>1</v>
      </c>
      <c r="O848" t="s">
        <v>15</v>
      </c>
      <c r="P848">
        <v>1</v>
      </c>
      <c r="Q848" t="s">
        <v>90</v>
      </c>
      <c r="R848" t="s">
        <v>115</v>
      </c>
    </row>
    <row r="849" spans="1:18">
      <c r="A849">
        <v>2058</v>
      </c>
      <c r="B849" t="s">
        <v>114</v>
      </c>
      <c r="C849">
        <v>8</v>
      </c>
      <c r="D849">
        <v>10</v>
      </c>
      <c r="E849" t="s">
        <v>94</v>
      </c>
      <c r="F849" t="s">
        <v>90</v>
      </c>
      <c r="G849" t="s">
        <v>15</v>
      </c>
      <c r="H849" t="s">
        <v>91</v>
      </c>
      <c r="I849">
        <v>20</v>
      </c>
      <c r="J849">
        <v>0</v>
      </c>
      <c r="K849">
        <v>8</v>
      </c>
      <c r="L849" t="s">
        <v>116</v>
      </c>
      <c r="M849">
        <v>26</v>
      </c>
      <c r="N849">
        <v>1</v>
      </c>
      <c r="O849" t="s">
        <v>15</v>
      </c>
      <c r="P849">
        <v>1</v>
      </c>
      <c r="Q849" t="s">
        <v>90</v>
      </c>
      <c r="R849" t="s">
        <v>115</v>
      </c>
    </row>
    <row r="850" spans="1:18">
      <c r="A850">
        <v>2059</v>
      </c>
      <c r="B850" t="s">
        <v>114</v>
      </c>
      <c r="C850">
        <v>9</v>
      </c>
      <c r="D850">
        <v>10</v>
      </c>
      <c r="E850" t="s">
        <v>94</v>
      </c>
      <c r="F850" t="s">
        <v>90</v>
      </c>
      <c r="G850" t="s">
        <v>15</v>
      </c>
      <c r="H850" t="s">
        <v>91</v>
      </c>
      <c r="I850">
        <v>20</v>
      </c>
      <c r="J850">
        <v>0</v>
      </c>
      <c r="K850">
        <v>8</v>
      </c>
      <c r="L850" t="s">
        <v>116</v>
      </c>
      <c r="M850">
        <v>26</v>
      </c>
      <c r="N850">
        <v>1</v>
      </c>
      <c r="O850" t="s">
        <v>15</v>
      </c>
      <c r="P850">
        <v>1</v>
      </c>
      <c r="Q850" t="s">
        <v>90</v>
      </c>
      <c r="R850" t="s">
        <v>115</v>
      </c>
    </row>
    <row r="851" spans="1:18">
      <c r="A851">
        <v>2060</v>
      </c>
      <c r="B851" t="s">
        <v>114</v>
      </c>
      <c r="C851">
        <v>10</v>
      </c>
      <c r="D851">
        <v>9</v>
      </c>
      <c r="E851" t="s">
        <v>89</v>
      </c>
      <c r="F851" t="s">
        <v>90</v>
      </c>
      <c r="G851" t="s">
        <v>15</v>
      </c>
      <c r="H851" t="s">
        <v>91</v>
      </c>
      <c r="I851">
        <v>20</v>
      </c>
      <c r="J851">
        <v>0</v>
      </c>
      <c r="K851">
        <v>8</v>
      </c>
      <c r="L851" t="s">
        <v>116</v>
      </c>
      <c r="M851">
        <v>26</v>
      </c>
      <c r="N851">
        <v>1</v>
      </c>
      <c r="O851" t="s">
        <v>15</v>
      </c>
      <c r="P851">
        <v>1</v>
      </c>
      <c r="Q851" t="s">
        <v>90</v>
      </c>
      <c r="R851" t="s">
        <v>115</v>
      </c>
    </row>
    <row r="852" spans="1:18">
      <c r="A852">
        <v>2061</v>
      </c>
      <c r="B852" t="s">
        <v>114</v>
      </c>
      <c r="C852">
        <v>11</v>
      </c>
      <c r="D852">
        <v>11</v>
      </c>
      <c r="E852" t="s">
        <v>95</v>
      </c>
      <c r="F852" t="s">
        <v>90</v>
      </c>
      <c r="G852" t="s">
        <v>15</v>
      </c>
      <c r="H852" t="s">
        <v>91</v>
      </c>
      <c r="I852">
        <v>20</v>
      </c>
      <c r="J852">
        <v>0</v>
      </c>
      <c r="K852">
        <v>8</v>
      </c>
      <c r="L852" t="s">
        <v>116</v>
      </c>
      <c r="M852">
        <v>26</v>
      </c>
      <c r="N852">
        <v>1</v>
      </c>
      <c r="O852" t="s">
        <v>15</v>
      </c>
      <c r="P852">
        <v>1</v>
      </c>
      <c r="Q852" t="s">
        <v>90</v>
      </c>
      <c r="R852" t="s">
        <v>115</v>
      </c>
    </row>
    <row r="853" spans="1:18">
      <c r="A853">
        <v>2062</v>
      </c>
      <c r="B853" t="s">
        <v>114</v>
      </c>
      <c r="C853">
        <v>12</v>
      </c>
      <c r="D853">
        <v>11</v>
      </c>
      <c r="E853" t="s">
        <v>95</v>
      </c>
      <c r="F853" t="s">
        <v>90</v>
      </c>
      <c r="G853" t="s">
        <v>15</v>
      </c>
      <c r="H853" t="s">
        <v>91</v>
      </c>
      <c r="I853">
        <v>20</v>
      </c>
      <c r="J853">
        <v>0</v>
      </c>
      <c r="K853">
        <v>8</v>
      </c>
      <c r="L853" t="s">
        <v>116</v>
      </c>
      <c r="M853">
        <v>26</v>
      </c>
      <c r="N853">
        <v>1</v>
      </c>
      <c r="O853" t="s">
        <v>15</v>
      </c>
      <c r="P853">
        <v>1</v>
      </c>
      <c r="Q853" t="s">
        <v>90</v>
      </c>
      <c r="R853" t="s">
        <v>115</v>
      </c>
    </row>
    <row r="854" spans="1:18">
      <c r="A854">
        <v>2063</v>
      </c>
      <c r="B854" t="s">
        <v>114</v>
      </c>
      <c r="C854">
        <v>13</v>
      </c>
      <c r="D854">
        <v>11</v>
      </c>
      <c r="E854" t="s">
        <v>95</v>
      </c>
      <c r="F854" t="s">
        <v>90</v>
      </c>
      <c r="G854" t="s">
        <v>15</v>
      </c>
      <c r="H854" t="s">
        <v>91</v>
      </c>
      <c r="I854">
        <v>20</v>
      </c>
      <c r="J854">
        <v>0</v>
      </c>
      <c r="K854">
        <v>8</v>
      </c>
      <c r="L854" t="s">
        <v>116</v>
      </c>
      <c r="M854">
        <v>26</v>
      </c>
      <c r="N854">
        <v>1</v>
      </c>
      <c r="O854" t="s">
        <v>15</v>
      </c>
      <c r="P854">
        <v>1</v>
      </c>
      <c r="Q854" t="s">
        <v>90</v>
      </c>
      <c r="R854" t="s">
        <v>115</v>
      </c>
    </row>
    <row r="855" spans="1:18">
      <c r="A855">
        <v>2064</v>
      </c>
      <c r="B855" t="s">
        <v>114</v>
      </c>
      <c r="C855">
        <v>14</v>
      </c>
      <c r="D855">
        <v>11</v>
      </c>
      <c r="E855" t="s">
        <v>95</v>
      </c>
      <c r="F855" t="s">
        <v>90</v>
      </c>
      <c r="G855" t="s">
        <v>15</v>
      </c>
      <c r="H855" t="s">
        <v>91</v>
      </c>
      <c r="I855">
        <v>20</v>
      </c>
      <c r="J855">
        <v>0</v>
      </c>
      <c r="K855">
        <v>8</v>
      </c>
      <c r="L855" t="s">
        <v>116</v>
      </c>
      <c r="M855">
        <v>26</v>
      </c>
      <c r="N855">
        <v>1</v>
      </c>
      <c r="O855" t="s">
        <v>15</v>
      </c>
      <c r="P855">
        <v>1</v>
      </c>
      <c r="Q855" t="s">
        <v>90</v>
      </c>
      <c r="R855" t="s">
        <v>115</v>
      </c>
    </row>
    <row r="856" spans="1:18">
      <c r="A856">
        <v>2065</v>
      </c>
      <c r="B856" t="s">
        <v>114</v>
      </c>
      <c r="C856">
        <v>15</v>
      </c>
      <c r="D856">
        <v>11</v>
      </c>
      <c r="E856" t="s">
        <v>95</v>
      </c>
      <c r="F856" t="s">
        <v>90</v>
      </c>
      <c r="G856" t="s">
        <v>15</v>
      </c>
      <c r="H856" t="s">
        <v>91</v>
      </c>
      <c r="I856">
        <v>20</v>
      </c>
      <c r="J856">
        <v>0</v>
      </c>
      <c r="K856">
        <v>8</v>
      </c>
      <c r="L856" t="s">
        <v>116</v>
      </c>
      <c r="M856">
        <v>26</v>
      </c>
      <c r="N856">
        <v>1</v>
      </c>
      <c r="O856" t="s">
        <v>15</v>
      </c>
      <c r="P856">
        <v>1</v>
      </c>
      <c r="Q856" t="s">
        <v>90</v>
      </c>
      <c r="R856" t="s">
        <v>115</v>
      </c>
    </row>
    <row r="857" spans="1:18">
      <c r="A857">
        <v>2066</v>
      </c>
      <c r="B857" t="s">
        <v>114</v>
      </c>
      <c r="C857">
        <v>16</v>
      </c>
      <c r="D857">
        <v>11</v>
      </c>
      <c r="E857" t="s">
        <v>95</v>
      </c>
      <c r="F857" t="s">
        <v>90</v>
      </c>
      <c r="G857" t="s">
        <v>15</v>
      </c>
      <c r="H857" t="s">
        <v>91</v>
      </c>
      <c r="I857">
        <v>20</v>
      </c>
      <c r="J857">
        <v>0</v>
      </c>
      <c r="K857">
        <v>8</v>
      </c>
      <c r="L857" t="s">
        <v>116</v>
      </c>
      <c r="M857">
        <v>26</v>
      </c>
      <c r="N857">
        <v>1</v>
      </c>
      <c r="O857" t="s">
        <v>15</v>
      </c>
      <c r="P857">
        <v>1</v>
      </c>
      <c r="Q857" t="s">
        <v>90</v>
      </c>
      <c r="R857" t="s">
        <v>115</v>
      </c>
    </row>
    <row r="858" spans="1:18">
      <c r="A858">
        <v>2067</v>
      </c>
      <c r="B858" t="s">
        <v>114</v>
      </c>
      <c r="C858">
        <v>17</v>
      </c>
      <c r="D858">
        <v>11</v>
      </c>
      <c r="E858" t="s">
        <v>95</v>
      </c>
      <c r="F858" t="s">
        <v>90</v>
      </c>
      <c r="G858" t="s">
        <v>15</v>
      </c>
      <c r="H858" t="s">
        <v>91</v>
      </c>
      <c r="I858">
        <v>20</v>
      </c>
      <c r="J858">
        <v>0</v>
      </c>
      <c r="K858">
        <v>8</v>
      </c>
      <c r="L858" t="s">
        <v>116</v>
      </c>
      <c r="M858">
        <v>26</v>
      </c>
      <c r="N858">
        <v>1</v>
      </c>
      <c r="O858" t="s">
        <v>15</v>
      </c>
      <c r="P858">
        <v>1</v>
      </c>
      <c r="Q858" t="s">
        <v>90</v>
      </c>
      <c r="R858" t="s">
        <v>115</v>
      </c>
    </row>
    <row r="859" spans="1:18">
      <c r="A859">
        <v>2068</v>
      </c>
      <c r="B859" t="s">
        <v>114</v>
      </c>
      <c r="C859">
        <v>18</v>
      </c>
      <c r="D859">
        <v>11</v>
      </c>
      <c r="E859" t="s">
        <v>95</v>
      </c>
      <c r="F859" t="s">
        <v>90</v>
      </c>
      <c r="G859" t="s">
        <v>15</v>
      </c>
      <c r="H859" t="s">
        <v>91</v>
      </c>
      <c r="I859">
        <v>20</v>
      </c>
      <c r="J859">
        <v>0</v>
      </c>
      <c r="K859">
        <v>8</v>
      </c>
      <c r="L859" t="s">
        <v>116</v>
      </c>
      <c r="M859">
        <v>26</v>
      </c>
      <c r="N859">
        <v>1</v>
      </c>
      <c r="O859" t="s">
        <v>15</v>
      </c>
      <c r="P859">
        <v>1</v>
      </c>
      <c r="Q859" t="s">
        <v>90</v>
      </c>
      <c r="R859" t="s">
        <v>115</v>
      </c>
    </row>
    <row r="860" spans="1:18">
      <c r="A860">
        <v>2069</v>
      </c>
      <c r="B860" t="s">
        <v>114</v>
      </c>
      <c r="C860">
        <v>19</v>
      </c>
      <c r="D860">
        <v>11</v>
      </c>
      <c r="E860" t="s">
        <v>95</v>
      </c>
      <c r="F860" t="s">
        <v>90</v>
      </c>
      <c r="G860" t="s">
        <v>15</v>
      </c>
      <c r="H860" t="s">
        <v>91</v>
      </c>
      <c r="I860">
        <v>20</v>
      </c>
      <c r="J860">
        <v>0</v>
      </c>
      <c r="K860">
        <v>8</v>
      </c>
      <c r="L860" t="s">
        <v>116</v>
      </c>
      <c r="M860">
        <v>26</v>
      </c>
      <c r="N860">
        <v>1</v>
      </c>
      <c r="O860" t="s">
        <v>15</v>
      </c>
      <c r="P860">
        <v>1</v>
      </c>
      <c r="Q860" t="s">
        <v>90</v>
      </c>
      <c r="R860" t="s">
        <v>115</v>
      </c>
    </row>
    <row r="861" spans="1:18">
      <c r="A861">
        <v>2070</v>
      </c>
      <c r="B861" t="s">
        <v>114</v>
      </c>
      <c r="C861">
        <v>20</v>
      </c>
      <c r="D861">
        <v>11</v>
      </c>
      <c r="E861" t="s">
        <v>95</v>
      </c>
      <c r="F861" t="s">
        <v>90</v>
      </c>
      <c r="G861" t="s">
        <v>15</v>
      </c>
      <c r="H861" t="s">
        <v>91</v>
      </c>
      <c r="I861">
        <v>20</v>
      </c>
      <c r="J861">
        <v>0</v>
      </c>
      <c r="K861">
        <v>8</v>
      </c>
      <c r="L861" t="s">
        <v>116</v>
      </c>
      <c r="M861">
        <v>26</v>
      </c>
      <c r="N861">
        <v>1</v>
      </c>
      <c r="O861" t="s">
        <v>15</v>
      </c>
      <c r="P861">
        <v>1</v>
      </c>
      <c r="Q861" t="s">
        <v>90</v>
      </c>
      <c r="R861" t="s">
        <v>115</v>
      </c>
    </row>
    <row r="862" spans="1:18">
      <c r="A862">
        <v>2071</v>
      </c>
      <c r="B862" t="s">
        <v>114</v>
      </c>
      <c r="C862">
        <v>21</v>
      </c>
      <c r="D862">
        <v>9</v>
      </c>
      <c r="E862" t="s">
        <v>89</v>
      </c>
      <c r="F862" t="s">
        <v>90</v>
      </c>
      <c r="G862" t="s">
        <v>15</v>
      </c>
      <c r="H862" t="s">
        <v>91</v>
      </c>
      <c r="I862">
        <v>20</v>
      </c>
      <c r="J862">
        <v>0</v>
      </c>
      <c r="K862">
        <v>8</v>
      </c>
      <c r="L862" t="s">
        <v>116</v>
      </c>
      <c r="M862">
        <v>26</v>
      </c>
      <c r="N862">
        <v>1</v>
      </c>
      <c r="O862" t="s">
        <v>15</v>
      </c>
      <c r="P862">
        <v>1</v>
      </c>
      <c r="Q862" t="s">
        <v>90</v>
      </c>
      <c r="R862" t="s">
        <v>115</v>
      </c>
    </row>
    <row r="863" spans="1:18">
      <c r="A863">
        <v>2072</v>
      </c>
      <c r="B863" t="s">
        <v>114</v>
      </c>
      <c r="C863">
        <v>22</v>
      </c>
      <c r="D863">
        <v>10</v>
      </c>
      <c r="E863" t="s">
        <v>94</v>
      </c>
      <c r="F863" t="s">
        <v>90</v>
      </c>
      <c r="G863" t="s">
        <v>15</v>
      </c>
      <c r="H863" t="s">
        <v>91</v>
      </c>
      <c r="I863">
        <v>20</v>
      </c>
      <c r="J863">
        <v>0</v>
      </c>
      <c r="K863">
        <v>8</v>
      </c>
      <c r="L863" t="s">
        <v>116</v>
      </c>
      <c r="M863">
        <v>26</v>
      </c>
      <c r="N863">
        <v>1</v>
      </c>
      <c r="O863" t="s">
        <v>15</v>
      </c>
      <c r="P863">
        <v>1</v>
      </c>
      <c r="Q863" t="s">
        <v>90</v>
      </c>
      <c r="R863" t="s">
        <v>115</v>
      </c>
    </row>
    <row r="864" spans="1:18">
      <c r="A864">
        <v>2073</v>
      </c>
      <c r="B864" t="s">
        <v>114</v>
      </c>
      <c r="C864">
        <v>23</v>
      </c>
      <c r="D864">
        <v>9</v>
      </c>
      <c r="E864" t="s">
        <v>89</v>
      </c>
      <c r="F864" t="s">
        <v>90</v>
      </c>
      <c r="G864" t="s">
        <v>15</v>
      </c>
      <c r="H864" t="s">
        <v>91</v>
      </c>
      <c r="I864">
        <v>20</v>
      </c>
      <c r="J864">
        <v>0</v>
      </c>
      <c r="K864">
        <v>8</v>
      </c>
      <c r="L864" t="s">
        <v>116</v>
      </c>
      <c r="M864">
        <v>26</v>
      </c>
      <c r="N864">
        <v>1</v>
      </c>
      <c r="O864" t="s">
        <v>15</v>
      </c>
      <c r="P864">
        <v>1</v>
      </c>
      <c r="Q864" t="s">
        <v>90</v>
      </c>
      <c r="R864" t="s">
        <v>115</v>
      </c>
    </row>
    <row r="865" spans="1:18">
      <c r="A865">
        <v>2074</v>
      </c>
      <c r="B865" t="s">
        <v>114</v>
      </c>
      <c r="C865">
        <v>24</v>
      </c>
      <c r="D865">
        <v>10</v>
      </c>
      <c r="E865" t="s">
        <v>94</v>
      </c>
      <c r="F865" t="s">
        <v>90</v>
      </c>
      <c r="G865" t="s">
        <v>15</v>
      </c>
      <c r="H865" t="s">
        <v>91</v>
      </c>
      <c r="I865">
        <v>20</v>
      </c>
      <c r="J865">
        <v>0</v>
      </c>
      <c r="K865">
        <v>8</v>
      </c>
      <c r="L865" t="s">
        <v>116</v>
      </c>
      <c r="M865">
        <v>26</v>
      </c>
      <c r="N865">
        <v>1</v>
      </c>
      <c r="O865" t="s">
        <v>15</v>
      </c>
      <c r="P865">
        <v>1</v>
      </c>
      <c r="Q865" t="s">
        <v>90</v>
      </c>
      <c r="R865" t="s">
        <v>115</v>
      </c>
    </row>
    <row r="866" spans="1:18">
      <c r="A866">
        <v>2075</v>
      </c>
      <c r="B866" t="s">
        <v>114</v>
      </c>
      <c r="C866">
        <v>25</v>
      </c>
      <c r="D866">
        <v>9</v>
      </c>
      <c r="E866" t="s">
        <v>89</v>
      </c>
      <c r="F866" t="s">
        <v>90</v>
      </c>
      <c r="G866" t="s">
        <v>15</v>
      </c>
      <c r="H866" t="s">
        <v>91</v>
      </c>
      <c r="I866">
        <v>20</v>
      </c>
      <c r="J866">
        <v>0</v>
      </c>
      <c r="K866">
        <v>8</v>
      </c>
      <c r="L866" t="s">
        <v>116</v>
      </c>
      <c r="M866">
        <v>26</v>
      </c>
      <c r="N866">
        <v>1</v>
      </c>
      <c r="O866" t="s">
        <v>15</v>
      </c>
      <c r="P866">
        <v>1</v>
      </c>
      <c r="Q866" t="s">
        <v>90</v>
      </c>
      <c r="R866" t="s">
        <v>115</v>
      </c>
    </row>
    <row r="867" spans="1:18">
      <c r="A867">
        <v>2076</v>
      </c>
      <c r="B867" t="s">
        <v>114</v>
      </c>
      <c r="C867">
        <v>26</v>
      </c>
      <c r="D867">
        <v>10</v>
      </c>
      <c r="E867" t="s">
        <v>94</v>
      </c>
      <c r="F867" t="s">
        <v>90</v>
      </c>
      <c r="G867" t="s">
        <v>15</v>
      </c>
      <c r="H867" t="s">
        <v>91</v>
      </c>
      <c r="I867">
        <v>20</v>
      </c>
      <c r="J867">
        <v>0</v>
      </c>
      <c r="K867">
        <v>8</v>
      </c>
      <c r="L867" t="s">
        <v>116</v>
      </c>
      <c r="M867">
        <v>26</v>
      </c>
      <c r="N867">
        <v>1</v>
      </c>
      <c r="O867" t="s">
        <v>15</v>
      </c>
      <c r="P867">
        <v>1</v>
      </c>
      <c r="Q867" t="s">
        <v>90</v>
      </c>
      <c r="R867" t="s">
        <v>115</v>
      </c>
    </row>
    <row r="868" spans="1:18">
      <c r="A868">
        <v>2077</v>
      </c>
      <c r="B868" t="s">
        <v>114</v>
      </c>
      <c r="C868">
        <v>27</v>
      </c>
      <c r="D868">
        <v>9</v>
      </c>
      <c r="E868" t="s">
        <v>89</v>
      </c>
      <c r="F868" t="s">
        <v>90</v>
      </c>
      <c r="G868" t="s">
        <v>15</v>
      </c>
      <c r="H868" t="s">
        <v>91</v>
      </c>
      <c r="I868">
        <v>20</v>
      </c>
      <c r="J868">
        <v>0</v>
      </c>
      <c r="K868">
        <v>8</v>
      </c>
      <c r="L868" t="s">
        <v>116</v>
      </c>
      <c r="M868">
        <v>26</v>
      </c>
      <c r="N868">
        <v>1</v>
      </c>
      <c r="O868" t="s">
        <v>15</v>
      </c>
      <c r="P868">
        <v>1</v>
      </c>
      <c r="Q868" t="s">
        <v>90</v>
      </c>
      <c r="R868" t="s">
        <v>115</v>
      </c>
    </row>
    <row r="869" spans="1:18">
      <c r="A869">
        <v>2078</v>
      </c>
      <c r="B869" t="s">
        <v>114</v>
      </c>
      <c r="C869">
        <v>28</v>
      </c>
      <c r="D869">
        <v>10</v>
      </c>
      <c r="E869" t="s">
        <v>94</v>
      </c>
      <c r="F869" t="s">
        <v>90</v>
      </c>
      <c r="G869" t="s">
        <v>15</v>
      </c>
      <c r="H869" t="s">
        <v>91</v>
      </c>
      <c r="I869">
        <v>20</v>
      </c>
      <c r="J869">
        <v>0</v>
      </c>
      <c r="K869">
        <v>8</v>
      </c>
      <c r="L869" t="s">
        <v>116</v>
      </c>
      <c r="M869">
        <v>26</v>
      </c>
      <c r="N869">
        <v>1</v>
      </c>
      <c r="O869" t="s">
        <v>15</v>
      </c>
      <c r="P869">
        <v>1</v>
      </c>
      <c r="Q869" t="s">
        <v>90</v>
      </c>
      <c r="R869" t="s">
        <v>115</v>
      </c>
    </row>
    <row r="870" spans="1:18">
      <c r="A870">
        <v>2079</v>
      </c>
      <c r="B870" t="s">
        <v>114</v>
      </c>
      <c r="C870">
        <v>29</v>
      </c>
      <c r="D870">
        <v>9</v>
      </c>
      <c r="E870" t="s">
        <v>89</v>
      </c>
      <c r="F870" t="s">
        <v>90</v>
      </c>
      <c r="G870" t="s">
        <v>15</v>
      </c>
      <c r="H870" t="s">
        <v>91</v>
      </c>
      <c r="I870">
        <v>20</v>
      </c>
      <c r="J870">
        <v>0</v>
      </c>
      <c r="K870">
        <v>8</v>
      </c>
      <c r="L870" t="s">
        <v>116</v>
      </c>
      <c r="M870">
        <v>26</v>
      </c>
      <c r="N870">
        <v>1</v>
      </c>
      <c r="O870" t="s">
        <v>15</v>
      </c>
      <c r="P870">
        <v>1</v>
      </c>
      <c r="Q870" t="s">
        <v>90</v>
      </c>
      <c r="R870" t="s">
        <v>115</v>
      </c>
    </row>
    <row r="871" spans="1:18">
      <c r="A871">
        <v>2080</v>
      </c>
      <c r="B871" t="s">
        <v>114</v>
      </c>
      <c r="C871">
        <v>30</v>
      </c>
      <c r="D871">
        <v>10</v>
      </c>
      <c r="E871" t="s">
        <v>94</v>
      </c>
      <c r="F871" t="s">
        <v>90</v>
      </c>
      <c r="G871" t="s">
        <v>15</v>
      </c>
      <c r="H871" t="s">
        <v>91</v>
      </c>
      <c r="I871">
        <v>20</v>
      </c>
      <c r="J871">
        <v>0</v>
      </c>
      <c r="K871">
        <v>8</v>
      </c>
      <c r="L871" t="s">
        <v>116</v>
      </c>
      <c r="M871">
        <v>26</v>
      </c>
      <c r="N871">
        <v>1</v>
      </c>
      <c r="O871" t="s">
        <v>15</v>
      </c>
      <c r="P871">
        <v>1</v>
      </c>
      <c r="Q871" t="s">
        <v>90</v>
      </c>
      <c r="R871" t="s">
        <v>115</v>
      </c>
    </row>
    <row r="872" spans="1:18">
      <c r="A872">
        <v>2081</v>
      </c>
      <c r="B872" t="s">
        <v>114</v>
      </c>
      <c r="C872">
        <v>31</v>
      </c>
      <c r="D872">
        <v>12</v>
      </c>
      <c r="E872" t="s">
        <v>96</v>
      </c>
      <c r="F872" t="s">
        <v>90</v>
      </c>
      <c r="G872" t="s">
        <v>15</v>
      </c>
      <c r="H872" t="s">
        <v>91</v>
      </c>
      <c r="I872">
        <v>20</v>
      </c>
      <c r="J872">
        <v>0</v>
      </c>
      <c r="K872">
        <v>8</v>
      </c>
      <c r="L872" t="s">
        <v>116</v>
      </c>
      <c r="M872">
        <v>26</v>
      </c>
      <c r="N872">
        <v>1</v>
      </c>
      <c r="O872" t="s">
        <v>15</v>
      </c>
      <c r="P872">
        <v>1</v>
      </c>
      <c r="Q872" t="s">
        <v>90</v>
      </c>
      <c r="R872" t="s">
        <v>115</v>
      </c>
    </row>
    <row r="873" spans="1:18">
      <c r="A873">
        <v>2082</v>
      </c>
      <c r="B873" t="s">
        <v>114</v>
      </c>
      <c r="C873">
        <v>32</v>
      </c>
      <c r="D873">
        <v>12</v>
      </c>
      <c r="E873" t="s">
        <v>96</v>
      </c>
      <c r="F873" t="s">
        <v>90</v>
      </c>
      <c r="G873" t="s">
        <v>15</v>
      </c>
      <c r="H873" t="s">
        <v>91</v>
      </c>
      <c r="I873">
        <v>20</v>
      </c>
      <c r="J873">
        <v>0</v>
      </c>
      <c r="K873">
        <v>8</v>
      </c>
      <c r="L873" t="s">
        <v>116</v>
      </c>
      <c r="M873">
        <v>26</v>
      </c>
      <c r="N873">
        <v>1</v>
      </c>
      <c r="O873" t="s">
        <v>15</v>
      </c>
      <c r="P873">
        <v>1</v>
      </c>
      <c r="Q873" t="s">
        <v>90</v>
      </c>
      <c r="R873" t="s">
        <v>115</v>
      </c>
    </row>
    <row r="874" spans="1:18">
      <c r="A874">
        <v>2083</v>
      </c>
      <c r="B874" t="s">
        <v>114</v>
      </c>
      <c r="C874">
        <v>33</v>
      </c>
      <c r="D874">
        <v>12</v>
      </c>
      <c r="E874" t="s">
        <v>96</v>
      </c>
      <c r="F874" t="s">
        <v>90</v>
      </c>
      <c r="G874" t="s">
        <v>15</v>
      </c>
      <c r="H874" t="s">
        <v>91</v>
      </c>
      <c r="I874">
        <v>20</v>
      </c>
      <c r="J874">
        <v>0</v>
      </c>
      <c r="K874">
        <v>8</v>
      </c>
      <c r="L874" t="s">
        <v>116</v>
      </c>
      <c r="M874">
        <v>26</v>
      </c>
      <c r="N874">
        <v>1</v>
      </c>
      <c r="O874" t="s">
        <v>15</v>
      </c>
      <c r="P874">
        <v>1</v>
      </c>
      <c r="Q874" t="s">
        <v>90</v>
      </c>
      <c r="R874" t="s">
        <v>115</v>
      </c>
    </row>
    <row r="875" spans="1:18">
      <c r="A875">
        <v>2084</v>
      </c>
      <c r="B875" t="s">
        <v>114</v>
      </c>
      <c r="C875">
        <v>34</v>
      </c>
      <c r="D875">
        <v>12</v>
      </c>
      <c r="E875" t="s">
        <v>96</v>
      </c>
      <c r="F875" t="s">
        <v>90</v>
      </c>
      <c r="G875" t="s">
        <v>15</v>
      </c>
      <c r="H875" t="s">
        <v>91</v>
      </c>
      <c r="I875">
        <v>20</v>
      </c>
      <c r="J875">
        <v>0</v>
      </c>
      <c r="K875">
        <v>8</v>
      </c>
      <c r="L875" t="s">
        <v>116</v>
      </c>
      <c r="M875">
        <v>26</v>
      </c>
      <c r="N875">
        <v>1</v>
      </c>
      <c r="O875" t="s">
        <v>15</v>
      </c>
      <c r="P875">
        <v>1</v>
      </c>
      <c r="Q875" t="s">
        <v>90</v>
      </c>
      <c r="R875" t="s">
        <v>115</v>
      </c>
    </row>
    <row r="876" spans="1:18">
      <c r="A876">
        <v>2085</v>
      </c>
      <c r="B876" t="s">
        <v>114</v>
      </c>
      <c r="C876">
        <v>35</v>
      </c>
      <c r="D876">
        <v>12</v>
      </c>
      <c r="E876" t="s">
        <v>96</v>
      </c>
      <c r="F876" t="s">
        <v>90</v>
      </c>
      <c r="G876" t="s">
        <v>15</v>
      </c>
      <c r="H876" t="s">
        <v>91</v>
      </c>
      <c r="I876">
        <v>20</v>
      </c>
      <c r="J876">
        <v>0</v>
      </c>
      <c r="K876">
        <v>8</v>
      </c>
      <c r="L876" t="s">
        <v>116</v>
      </c>
      <c r="M876">
        <v>26</v>
      </c>
      <c r="N876">
        <v>1</v>
      </c>
      <c r="O876" t="s">
        <v>15</v>
      </c>
      <c r="P876">
        <v>1</v>
      </c>
      <c r="Q876" t="s">
        <v>90</v>
      </c>
      <c r="R876" t="s">
        <v>115</v>
      </c>
    </row>
    <row r="877" spans="1:18">
      <c r="A877">
        <v>2086</v>
      </c>
      <c r="B877" t="s">
        <v>114</v>
      </c>
      <c r="C877">
        <v>36</v>
      </c>
      <c r="D877">
        <v>12</v>
      </c>
      <c r="E877" t="s">
        <v>96</v>
      </c>
      <c r="F877" t="s">
        <v>90</v>
      </c>
      <c r="G877" t="s">
        <v>15</v>
      </c>
      <c r="H877" t="s">
        <v>91</v>
      </c>
      <c r="I877">
        <v>20</v>
      </c>
      <c r="J877">
        <v>0</v>
      </c>
      <c r="K877">
        <v>8</v>
      </c>
      <c r="L877" t="s">
        <v>116</v>
      </c>
      <c r="M877">
        <v>26</v>
      </c>
      <c r="N877">
        <v>1</v>
      </c>
      <c r="O877" t="s">
        <v>15</v>
      </c>
      <c r="P877">
        <v>1</v>
      </c>
      <c r="Q877" t="s">
        <v>90</v>
      </c>
      <c r="R877" t="s">
        <v>115</v>
      </c>
    </row>
    <row r="878" spans="1:18">
      <c r="A878">
        <v>2087</v>
      </c>
      <c r="B878" t="s">
        <v>114</v>
      </c>
      <c r="C878">
        <v>37</v>
      </c>
      <c r="D878">
        <v>12</v>
      </c>
      <c r="E878" t="s">
        <v>96</v>
      </c>
      <c r="F878" t="s">
        <v>90</v>
      </c>
      <c r="G878" t="s">
        <v>15</v>
      </c>
      <c r="H878" t="s">
        <v>91</v>
      </c>
      <c r="I878">
        <v>20</v>
      </c>
      <c r="J878">
        <v>0</v>
      </c>
      <c r="K878">
        <v>8</v>
      </c>
      <c r="L878" t="s">
        <v>116</v>
      </c>
      <c r="M878">
        <v>26</v>
      </c>
      <c r="N878">
        <v>1</v>
      </c>
      <c r="O878" t="s">
        <v>15</v>
      </c>
      <c r="P878">
        <v>1</v>
      </c>
      <c r="Q878" t="s">
        <v>90</v>
      </c>
      <c r="R878" t="s">
        <v>115</v>
      </c>
    </row>
    <row r="879" spans="1:18">
      <c r="A879">
        <v>2088</v>
      </c>
      <c r="B879" t="s">
        <v>114</v>
      </c>
      <c r="C879">
        <v>38</v>
      </c>
      <c r="D879">
        <v>12</v>
      </c>
      <c r="E879" t="s">
        <v>96</v>
      </c>
      <c r="F879" t="s">
        <v>90</v>
      </c>
      <c r="G879" t="s">
        <v>15</v>
      </c>
      <c r="H879" t="s">
        <v>91</v>
      </c>
      <c r="I879">
        <v>20</v>
      </c>
      <c r="J879">
        <v>0</v>
      </c>
      <c r="K879">
        <v>8</v>
      </c>
      <c r="L879" t="s">
        <v>116</v>
      </c>
      <c r="M879">
        <v>26</v>
      </c>
      <c r="N879">
        <v>1</v>
      </c>
      <c r="O879" t="s">
        <v>15</v>
      </c>
      <c r="P879">
        <v>1</v>
      </c>
      <c r="Q879" t="s">
        <v>90</v>
      </c>
      <c r="R879" t="s">
        <v>115</v>
      </c>
    </row>
    <row r="880" spans="1:18">
      <c r="A880">
        <v>2089</v>
      </c>
      <c r="B880" t="s">
        <v>114</v>
      </c>
      <c r="C880">
        <v>39</v>
      </c>
      <c r="D880">
        <v>12</v>
      </c>
      <c r="E880" t="s">
        <v>96</v>
      </c>
      <c r="F880" t="s">
        <v>90</v>
      </c>
      <c r="G880" t="s">
        <v>15</v>
      </c>
      <c r="H880" t="s">
        <v>91</v>
      </c>
      <c r="I880">
        <v>20</v>
      </c>
      <c r="J880">
        <v>0</v>
      </c>
      <c r="K880">
        <v>8</v>
      </c>
      <c r="L880" t="s">
        <v>116</v>
      </c>
      <c r="M880">
        <v>26</v>
      </c>
      <c r="N880">
        <v>1</v>
      </c>
      <c r="O880" t="s">
        <v>15</v>
      </c>
      <c r="P880">
        <v>1</v>
      </c>
      <c r="Q880" t="s">
        <v>90</v>
      </c>
      <c r="R880" t="s">
        <v>115</v>
      </c>
    </row>
    <row r="881" spans="1:18">
      <c r="A881">
        <v>2090</v>
      </c>
      <c r="B881" t="s">
        <v>114</v>
      </c>
      <c r="C881">
        <v>40</v>
      </c>
      <c r="D881">
        <v>12</v>
      </c>
      <c r="E881" t="s">
        <v>96</v>
      </c>
      <c r="F881" t="s">
        <v>90</v>
      </c>
      <c r="G881" t="s">
        <v>15</v>
      </c>
      <c r="H881" t="s">
        <v>91</v>
      </c>
      <c r="I881">
        <v>20</v>
      </c>
      <c r="J881">
        <v>0</v>
      </c>
      <c r="K881">
        <v>8</v>
      </c>
      <c r="L881" t="s">
        <v>116</v>
      </c>
      <c r="M881">
        <v>26</v>
      </c>
      <c r="N881">
        <v>1</v>
      </c>
      <c r="O881" t="s">
        <v>15</v>
      </c>
      <c r="P881">
        <v>1</v>
      </c>
      <c r="Q881" t="s">
        <v>90</v>
      </c>
      <c r="R881" t="s">
        <v>115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"/>
  <sheetViews>
    <sheetView tabSelected="0" workbookViewId="0" showGridLines="true" showRowColHeaders="1" topLeftCell="M1">
      <selection activeCell="Q5" sqref="Q5"/>
    </sheetView>
  </sheetViews>
  <sheetFormatPr defaultRowHeight="14.4" outlineLevelRow="0" outlineLevelCol="0"/>
  <cols>
    <col min="2" max="2" width="14.6640625" customWidth="true" style="0"/>
    <col min="3" max="3" width="18.44140625" customWidth="true" style="0"/>
    <col min="4" max="4" width="19.33203125" customWidth="true" style="0"/>
    <col min="5" max="5" width="19.33203125" customWidth="true" style="0"/>
    <col min="7" max="7" width="18.44140625" customWidth="true" style="0"/>
    <col min="8" max="8" width="19.33203125" customWidth="true" style="0"/>
    <col min="9" max="9" width="19.33203125" customWidth="true" style="0"/>
    <col min="11" max="11" width="18.44140625" customWidth="true" style="0"/>
    <col min="12" max="12" width="19.33203125" customWidth="true" style="0"/>
    <col min="13" max="13" width="19.33203125" customWidth="true" style="0"/>
  </cols>
  <sheetData>
    <row r="1" spans="1:20">
      <c r="C1" t="s">
        <v>117</v>
      </c>
      <c r="D1" t="s">
        <v>118</v>
      </c>
      <c r="E1" t="s">
        <v>118</v>
      </c>
      <c r="G1" t="s">
        <v>117</v>
      </c>
      <c r="H1" t="s">
        <v>118</v>
      </c>
      <c r="I1" t="s">
        <v>118</v>
      </c>
      <c r="K1" t="s">
        <v>117</v>
      </c>
      <c r="L1" t="s">
        <v>118</v>
      </c>
      <c r="M1" t="s">
        <v>118</v>
      </c>
    </row>
    <row r="2" spans="1:20">
      <c r="C2" t="s">
        <v>91</v>
      </c>
      <c r="D2" t="s">
        <v>91</v>
      </c>
      <c r="E2" t="s">
        <v>91</v>
      </c>
      <c r="G2" t="s">
        <v>91</v>
      </c>
      <c r="H2" t="s">
        <v>91</v>
      </c>
      <c r="I2" t="s">
        <v>91</v>
      </c>
      <c r="K2" t="s">
        <v>91</v>
      </c>
      <c r="L2" t="s">
        <v>91</v>
      </c>
      <c r="M2" t="s">
        <v>91</v>
      </c>
    </row>
    <row r="3" spans="1:20">
      <c r="C3" t="s">
        <v>15</v>
      </c>
      <c r="D3" t="s">
        <v>15</v>
      </c>
      <c r="E3" t="s">
        <v>15</v>
      </c>
      <c r="G3" t="s">
        <v>15</v>
      </c>
      <c r="H3" t="s">
        <v>15</v>
      </c>
      <c r="I3" t="s">
        <v>15</v>
      </c>
      <c r="K3" t="s">
        <v>15</v>
      </c>
      <c r="L3" t="s">
        <v>15</v>
      </c>
      <c r="M3" t="s">
        <v>15</v>
      </c>
    </row>
    <row r="4" spans="1:20">
      <c r="C4" t="s">
        <v>90</v>
      </c>
      <c r="D4" t="s">
        <v>90</v>
      </c>
      <c r="E4" t="s">
        <v>90</v>
      </c>
      <c r="G4" t="s">
        <v>90</v>
      </c>
      <c r="H4" t="s">
        <v>90</v>
      </c>
      <c r="I4" t="s">
        <v>90</v>
      </c>
      <c r="K4" t="s">
        <v>90</v>
      </c>
      <c r="L4" t="s">
        <v>90</v>
      </c>
      <c r="M4" t="s">
        <v>90</v>
      </c>
    </row>
    <row r="5" spans="1:20">
      <c r="A5" t="s">
        <v>102</v>
      </c>
      <c r="B5" t="s">
        <v>88</v>
      </c>
      <c r="C5" t="str">
        <f>SUMIFS(Stats!$J:$J,Stats!$B:$B,$B5,Stats!$L:$L,C$1,Stats!$F:$F,C$4,Stats!$G:$G,C$3,Stats!$H:$H,C$2)</f>
      </c>
      <c r="D5" t="str">
        <f>SUMIFS(Stats!$J:$J,Stats!$B:$B,$B5,Stats!$L:$L,D$1,Stats!$F:$F,D$4,Stats!$G:$G,D$3,Stats!$H:$H,D$2)</f>
      </c>
      <c r="E5" t="str">
        <f>SUMIFS(Stats!$J:$J,Stats!$B:$B,$B5,Stats!$L:$L,E$1,Stats!$F:$F,E$4,Stats!$G:$G,E$3,Stats!$H:$H,E$2)</f>
      </c>
      <c r="G5" t="str">
        <f>SUMIFS(Stats!$I:$I,Stats!$B:$B,$B5,Stats!$L:$L,G$1,Stats!$F:$F,G$4,Stats!$G:$G,G$3,Stats!$H:$H,G$2)</f>
      </c>
      <c r="H5" t="str">
        <f>SUMIFS(Stats!$I:$I,Stats!$B:$B,$B5,Stats!$L:$L,H$1,Stats!$F:$F,H$4,Stats!$G:$G,H$3,Stats!$H:$H,H$2)</f>
      </c>
      <c r="I5" t="str">
        <f>SUMIFS(Stats!$I:$I,Stats!$B:$B,$B5,Stats!$L:$L,I$1,Stats!$F:$F,I$4,Stats!$G:$G,I$3,Stats!$H:$H,I$2)</f>
      </c>
      <c r="K5" t="str">
        <f>IFERROR(C5/G5*20,0)</f>
      </c>
      <c r="L5" t="str">
        <f>IFERROR(D5/H5*20,0)</f>
      </c>
      <c r="M5" t="str">
        <f>IFERROR(E5/I5*20,0)</f>
      </c>
      <c r="N5" t="str">
        <f>_xlfn.RANK.EQ(K5,$K$5:$K$5000,0)</f>
      </c>
      <c r="O5" t="str">
        <f>_xlfn.RANK.EQ(L5,$L$5:$L$5000,0)</f>
      </c>
      <c r="P5" t="str">
        <f>_xlfn.RANK.EQ(M5,$M$5:$M$5000,0)</f>
      </c>
      <c r="Q5" t="str">
        <f>IFERROR(SUM(C5:E5)/SUM(G5:I5)*20,0)</f>
      </c>
      <c r="R5" t="str">
        <f>_xlfn.RANK.EQ(Q5,$Q$5:$Q$5000,0)</f>
      </c>
      <c r="S5" t="str">
        <f>IFERROR(AVERAGEIF(C5:E5,"&gt;0"),0)</f>
      </c>
      <c r="T5" t="str">
        <f>IFERROR(AVERAGEIF(G5:I5,"&gt;0"),0)</f>
      </c>
    </row>
    <row r="6" spans="1:20">
      <c r="A6" t="s">
        <v>98</v>
      </c>
      <c r="B6" t="s">
        <v>97</v>
      </c>
    </row>
    <row r="7" spans="1:20">
      <c r="A7" t="s">
        <v>100</v>
      </c>
      <c r="B7" t="s">
        <v>99</v>
      </c>
    </row>
    <row r="8" spans="1:20">
      <c r="A8" t="s">
        <v>102</v>
      </c>
      <c r="B8" t="s">
        <v>101</v>
      </c>
    </row>
    <row r="9" spans="1:20">
      <c r="A9" t="s">
        <v>104</v>
      </c>
      <c r="B9" t="s">
        <v>103</v>
      </c>
    </row>
    <row r="10" spans="1:20">
      <c r="A10" t="s">
        <v>115</v>
      </c>
      <c r="B10" t="s">
        <v>105</v>
      </c>
    </row>
    <row r="11" spans="1:20">
      <c r="A11" t="s">
        <v>115</v>
      </c>
      <c r="B11" t="s">
        <v>107</v>
      </c>
    </row>
    <row r="12" spans="1:20">
      <c r="A12" t="s">
        <v>115</v>
      </c>
      <c r="B12" t="s">
        <v>108</v>
      </c>
    </row>
    <row r="13" spans="1:20">
      <c r="A13" t="s">
        <v>111</v>
      </c>
      <c r="B13" t="s">
        <v>110</v>
      </c>
    </row>
    <row r="14" spans="1:20">
      <c r="A14" t="s">
        <v>113</v>
      </c>
      <c r="B14" t="s">
        <v>112</v>
      </c>
    </row>
    <row r="15" spans="1:20">
      <c r="A15" t="s">
        <v>115</v>
      </c>
      <c r="B15" t="s">
        <v>114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Bulletin</vt:lpstr>
      <vt:lpstr>Stats</vt:lpstr>
      <vt:lpstr>Analysis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William FOHOM</cp:lastModifiedBy>
  <dcterms:created xsi:type="dcterms:W3CDTF">2025-05-09T12:08:17+00:00</dcterms:created>
  <dcterms:modified xsi:type="dcterms:W3CDTF">2025-05-23T00:55:19+00:00</dcterms:modified>
  <dc:title>Untitled Spreadsheet</dc:title>
  <dc:description/>
  <dc:subject/>
  <cp:keywords/>
  <cp:category/>
</cp:coreProperties>
</file>